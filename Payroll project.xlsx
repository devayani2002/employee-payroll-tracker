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EB5E0EB6-2F6D-41AE-B431-FE93066915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1" i="1" l="1"/>
  <c r="AC31" i="1"/>
  <c r="Q31" i="1"/>
  <c r="O31" i="1"/>
  <c r="M31" i="1"/>
  <c r="N31" i="1"/>
  <c r="L31" i="1"/>
  <c r="H31" i="1"/>
  <c r="D31" i="1"/>
  <c r="C31" i="1"/>
  <c r="C30" i="1"/>
  <c r="G31" i="1"/>
  <c r="D29" i="1"/>
  <c r="C28" i="1"/>
  <c r="D28" i="1"/>
  <c r="E28" i="1"/>
  <c r="F28" i="1"/>
  <c r="G28" i="1"/>
  <c r="H28" i="1"/>
  <c r="C29" i="1"/>
  <c r="E29" i="1"/>
  <c r="F29" i="1"/>
  <c r="G29" i="1"/>
  <c r="H29" i="1"/>
  <c r="D30" i="1"/>
  <c r="E30" i="1"/>
  <c r="F30" i="1"/>
  <c r="G30" i="1"/>
  <c r="H30" i="1"/>
  <c r="T31" i="1"/>
  <c r="U31" i="1"/>
  <c r="V31" i="1"/>
  <c r="W31" i="1"/>
  <c r="X31" i="1"/>
  <c r="Y31" i="1"/>
  <c r="Z31" i="1"/>
  <c r="AA31" i="1"/>
  <c r="AB31" i="1"/>
  <c r="J4" i="1"/>
  <c r="Y4" i="1"/>
  <c r="Z4" i="1" s="1"/>
  <c r="AA4" i="1" s="1"/>
  <c r="AB4" i="1" s="1"/>
  <c r="T4" i="1"/>
  <c r="U4" i="1" s="1"/>
  <c r="V4" i="1" s="1"/>
  <c r="W4" i="1" s="1"/>
  <c r="Q5" i="1"/>
  <c r="P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N6" i="1"/>
  <c r="N7" i="1"/>
  <c r="N8" i="1"/>
  <c r="N9" i="1"/>
  <c r="N10" i="1"/>
  <c r="N11" i="1"/>
  <c r="N5" i="1"/>
  <c r="O4" i="1"/>
  <c r="P4" i="1" s="1"/>
  <c r="Q4" i="1" s="1"/>
  <c r="R4" i="1" s="1"/>
  <c r="E4" i="1"/>
  <c r="K6" i="1"/>
  <c r="U6" i="1" s="1"/>
  <c r="L6" i="1"/>
  <c r="V6" i="1" s="1"/>
  <c r="M6" i="1"/>
  <c r="W6" i="1" s="1"/>
  <c r="K7" i="1"/>
  <c r="U7" i="1" s="1"/>
  <c r="L7" i="1"/>
  <c r="V7" i="1" s="1"/>
  <c r="M7" i="1"/>
  <c r="W7" i="1" s="1"/>
  <c r="K8" i="1"/>
  <c r="U8" i="1" s="1"/>
  <c r="L8" i="1"/>
  <c r="V8" i="1" s="1"/>
  <c r="M8" i="1"/>
  <c r="W8" i="1" s="1"/>
  <c r="K9" i="1"/>
  <c r="U9" i="1" s="1"/>
  <c r="L9" i="1"/>
  <c r="V9" i="1" s="1"/>
  <c r="M9" i="1"/>
  <c r="W9" i="1" s="1"/>
  <c r="K10" i="1"/>
  <c r="U10" i="1" s="1"/>
  <c r="L10" i="1"/>
  <c r="V10" i="1" s="1"/>
  <c r="M10" i="1"/>
  <c r="W10" i="1" s="1"/>
  <c r="K11" i="1"/>
  <c r="U11" i="1" s="1"/>
  <c r="L11" i="1"/>
  <c r="V11" i="1" s="1"/>
  <c r="M11" i="1"/>
  <c r="W11" i="1" s="1"/>
  <c r="K12" i="1"/>
  <c r="U12" i="1" s="1"/>
  <c r="L12" i="1"/>
  <c r="V12" i="1" s="1"/>
  <c r="M12" i="1"/>
  <c r="W12" i="1" s="1"/>
  <c r="K13" i="1"/>
  <c r="U13" i="1" s="1"/>
  <c r="L13" i="1"/>
  <c r="V13" i="1" s="1"/>
  <c r="M13" i="1"/>
  <c r="W13" i="1" s="1"/>
  <c r="K14" i="1"/>
  <c r="U14" i="1" s="1"/>
  <c r="L14" i="1"/>
  <c r="V14" i="1" s="1"/>
  <c r="M14" i="1"/>
  <c r="W14" i="1" s="1"/>
  <c r="K15" i="1"/>
  <c r="U15" i="1" s="1"/>
  <c r="L15" i="1"/>
  <c r="V15" i="1" s="1"/>
  <c r="M15" i="1"/>
  <c r="W15" i="1" s="1"/>
  <c r="K16" i="1"/>
  <c r="U16" i="1" s="1"/>
  <c r="L16" i="1"/>
  <c r="V16" i="1" s="1"/>
  <c r="M16" i="1"/>
  <c r="W16" i="1" s="1"/>
  <c r="K17" i="1"/>
  <c r="U17" i="1" s="1"/>
  <c r="L17" i="1"/>
  <c r="V17" i="1" s="1"/>
  <c r="M17" i="1"/>
  <c r="W17" i="1" s="1"/>
  <c r="K18" i="1"/>
  <c r="U18" i="1" s="1"/>
  <c r="L18" i="1"/>
  <c r="V18" i="1" s="1"/>
  <c r="M18" i="1"/>
  <c r="W18" i="1" s="1"/>
  <c r="K19" i="1"/>
  <c r="U19" i="1" s="1"/>
  <c r="L19" i="1"/>
  <c r="V19" i="1" s="1"/>
  <c r="M19" i="1"/>
  <c r="W19" i="1" s="1"/>
  <c r="K20" i="1"/>
  <c r="U20" i="1" s="1"/>
  <c r="L20" i="1"/>
  <c r="V20" i="1" s="1"/>
  <c r="M20" i="1"/>
  <c r="W20" i="1" s="1"/>
  <c r="K21" i="1"/>
  <c r="U21" i="1" s="1"/>
  <c r="L21" i="1"/>
  <c r="V21" i="1" s="1"/>
  <c r="M21" i="1"/>
  <c r="W21" i="1" s="1"/>
  <c r="K22" i="1"/>
  <c r="U22" i="1" s="1"/>
  <c r="L22" i="1"/>
  <c r="V22" i="1" s="1"/>
  <c r="M22" i="1"/>
  <c r="W22" i="1" s="1"/>
  <c r="K23" i="1"/>
  <c r="U23" i="1" s="1"/>
  <c r="L23" i="1"/>
  <c r="V23" i="1" s="1"/>
  <c r="M23" i="1"/>
  <c r="W23" i="1" s="1"/>
  <c r="K24" i="1"/>
  <c r="U24" i="1" s="1"/>
  <c r="L24" i="1"/>
  <c r="V24" i="1" s="1"/>
  <c r="M24" i="1"/>
  <c r="W24" i="1" s="1"/>
  <c r="L5" i="1"/>
  <c r="M5" i="1"/>
  <c r="K5" i="1"/>
  <c r="J6" i="1"/>
  <c r="T6" i="1" s="1"/>
  <c r="J7" i="1"/>
  <c r="T7" i="1" s="1"/>
  <c r="J8" i="1"/>
  <c r="T8" i="1" s="1"/>
  <c r="J9" i="1"/>
  <c r="T9" i="1" s="1"/>
  <c r="J10" i="1"/>
  <c r="T10" i="1" s="1"/>
  <c r="J11" i="1"/>
  <c r="T11" i="1" s="1"/>
  <c r="J12" i="1"/>
  <c r="T12" i="1" s="1"/>
  <c r="J13" i="1"/>
  <c r="T13" i="1" s="1"/>
  <c r="J14" i="1"/>
  <c r="T14" i="1" s="1"/>
  <c r="J15" i="1"/>
  <c r="T15" i="1" s="1"/>
  <c r="J16" i="1"/>
  <c r="T16" i="1" s="1"/>
  <c r="J17" i="1"/>
  <c r="T17" i="1" s="1"/>
  <c r="J18" i="1"/>
  <c r="T18" i="1" s="1"/>
  <c r="J19" i="1"/>
  <c r="T19" i="1" s="1"/>
  <c r="J20" i="1"/>
  <c r="T20" i="1" s="1"/>
  <c r="J21" i="1"/>
  <c r="T21" i="1" s="1"/>
  <c r="J22" i="1"/>
  <c r="T22" i="1" s="1"/>
  <c r="J23" i="1"/>
  <c r="T23" i="1" s="1"/>
  <c r="J24" i="1"/>
  <c r="T24" i="1" s="1"/>
  <c r="J5" i="1"/>
  <c r="K4" i="1"/>
  <c r="L4" i="1" s="1"/>
  <c r="M4" i="1" s="1"/>
  <c r="F4" i="1"/>
  <c r="G4" i="1" s="1"/>
  <c r="H4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21" i="1"/>
  <c r="S21" i="1" s="1"/>
  <c r="I22" i="1"/>
  <c r="S22" i="1" s="1"/>
  <c r="I23" i="1"/>
  <c r="S23" i="1" s="1"/>
  <c r="I24" i="1"/>
  <c r="S24" i="1" s="1"/>
  <c r="I5" i="1"/>
  <c r="N12" i="1"/>
  <c r="X12" i="1" s="1"/>
  <c r="N13" i="1"/>
  <c r="X13" i="1" s="1"/>
  <c r="N14" i="1"/>
  <c r="X14" i="1" s="1"/>
  <c r="N15" i="1"/>
  <c r="X15" i="1" s="1"/>
  <c r="N16" i="1"/>
  <c r="X16" i="1" s="1"/>
  <c r="N17" i="1"/>
  <c r="X17" i="1" s="1"/>
  <c r="N18" i="1"/>
  <c r="X18" i="1" s="1"/>
  <c r="N19" i="1"/>
  <c r="X19" i="1" s="1"/>
  <c r="N20" i="1"/>
  <c r="X20" i="1" s="1"/>
  <c r="N21" i="1"/>
  <c r="X21" i="1" s="1"/>
  <c r="N22" i="1"/>
  <c r="X22" i="1" s="1"/>
  <c r="N23" i="1"/>
  <c r="X23" i="1" s="1"/>
  <c r="N24" i="1"/>
  <c r="X24" i="1" s="1"/>
  <c r="I28" i="1" l="1"/>
  <c r="I29" i="1"/>
  <c r="I30" i="1"/>
  <c r="J28" i="1"/>
  <c r="J29" i="1"/>
  <c r="J30" i="1"/>
  <c r="K28" i="1"/>
  <c r="K29" i="1"/>
  <c r="K30" i="1"/>
  <c r="M28" i="1"/>
  <c r="M29" i="1"/>
  <c r="M30" i="1"/>
  <c r="L28" i="1"/>
  <c r="L29" i="1"/>
  <c r="L30" i="1"/>
  <c r="N28" i="1"/>
  <c r="N29" i="1"/>
  <c r="N30" i="1"/>
  <c r="O28" i="1"/>
  <c r="O29" i="1"/>
  <c r="O30" i="1"/>
  <c r="R28" i="1"/>
  <c r="R29" i="1"/>
  <c r="R30" i="1"/>
  <c r="P28" i="1"/>
  <c r="P29" i="1"/>
  <c r="P30" i="1"/>
  <c r="E31" i="1"/>
  <c r="Q28" i="1"/>
  <c r="Q29" i="1"/>
  <c r="Q30" i="1"/>
  <c r="F31" i="1"/>
  <c r="S5" i="1"/>
  <c r="T5" i="1"/>
  <c r="U5" i="1"/>
  <c r="W5" i="1"/>
  <c r="V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7" i="1"/>
  <c r="Y6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7" i="1"/>
  <c r="AA7" i="1"/>
  <c r="Z7" i="1"/>
  <c r="AB6" i="1"/>
  <c r="AA6" i="1"/>
  <c r="Z6" i="1"/>
  <c r="X5" i="1"/>
  <c r="Y5" i="1"/>
  <c r="AB5" i="1"/>
  <c r="Z5" i="1"/>
  <c r="AA5" i="1"/>
  <c r="Y8" i="1"/>
  <c r="AB8" i="1"/>
  <c r="AA8" i="1"/>
  <c r="Z8" i="1"/>
  <c r="X11" i="1"/>
  <c r="AC11" i="1" s="1"/>
  <c r="X10" i="1"/>
  <c r="AC10" i="1" s="1"/>
  <c r="X9" i="1"/>
  <c r="AC9" i="1" s="1"/>
  <c r="X8" i="1"/>
  <c r="AC8" i="1" s="1"/>
  <c r="X7" i="1"/>
  <c r="AC7" i="1" s="1"/>
  <c r="X6" i="1"/>
  <c r="AC6" i="1" s="1"/>
  <c r="AA28" i="1" l="1"/>
  <c r="AA29" i="1"/>
  <c r="AA30" i="1"/>
  <c r="P31" i="1"/>
  <c r="Z28" i="1"/>
  <c r="Z29" i="1"/>
  <c r="Z30" i="1"/>
  <c r="AB28" i="1"/>
  <c r="AB29" i="1"/>
  <c r="AB30" i="1"/>
  <c r="Y28" i="1"/>
  <c r="Y29" i="1"/>
  <c r="Y30" i="1"/>
  <c r="X28" i="1"/>
  <c r="X29" i="1"/>
  <c r="X30" i="1"/>
  <c r="V28" i="1"/>
  <c r="V29" i="1"/>
  <c r="V30" i="1"/>
  <c r="K31" i="1"/>
  <c r="W28" i="1"/>
  <c r="W29" i="1"/>
  <c r="W30" i="1"/>
  <c r="U28" i="1"/>
  <c r="U29" i="1"/>
  <c r="U30" i="1"/>
  <c r="J31" i="1"/>
  <c r="T28" i="1"/>
  <c r="T29" i="1"/>
  <c r="T30" i="1"/>
  <c r="I31" i="1"/>
  <c r="S28" i="1"/>
  <c r="S29" i="1"/>
  <c r="S30" i="1"/>
  <c r="AC5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8" i="1" l="1"/>
  <c r="AC29" i="1"/>
  <c r="AC30" i="1"/>
</calcChain>
</file>

<file path=xl/sharedStrings.xml><?xml version="1.0" encoding="utf-8"?>
<sst xmlns="http://schemas.openxmlformats.org/spreadsheetml/2006/main" count="55" uniqueCount="55">
  <si>
    <t>Employee Payroll</t>
  </si>
  <si>
    <t>House Worked</t>
  </si>
  <si>
    <t>Overtime Hours</t>
  </si>
  <si>
    <t>Pay</t>
  </si>
  <si>
    <t>Overtime Bonus</t>
  </si>
  <si>
    <t>Total Pay</t>
  </si>
  <si>
    <t>January Pay</t>
  </si>
  <si>
    <t>Last Name</t>
  </si>
  <si>
    <t>First Name</t>
  </si>
  <si>
    <t>Hourly Wage</t>
  </si>
  <si>
    <t>Aarav</t>
  </si>
  <si>
    <t>Sharma</t>
  </si>
  <si>
    <t>Priya</t>
  </si>
  <si>
    <t>Nair</t>
  </si>
  <si>
    <t>Rahul</t>
  </si>
  <si>
    <t>Mehta</t>
  </si>
  <si>
    <t>Ananya</t>
  </si>
  <si>
    <t>Iyer</t>
  </si>
  <si>
    <t>Karthik</t>
  </si>
  <si>
    <t>Reddy</t>
  </si>
  <si>
    <t>Sneha</t>
  </si>
  <si>
    <t>Patel</t>
  </si>
  <si>
    <t>Arjun</t>
  </si>
  <si>
    <t>Kumar</t>
  </si>
  <si>
    <t>Divya</t>
  </si>
  <si>
    <t>Menon</t>
  </si>
  <si>
    <t>Rohan</t>
  </si>
  <si>
    <t>Verma</t>
  </si>
  <si>
    <t>Kavya</t>
  </si>
  <si>
    <t>Rao</t>
  </si>
  <si>
    <t>Aditya</t>
  </si>
  <si>
    <t>Joshi</t>
  </si>
  <si>
    <t>Meera</t>
  </si>
  <si>
    <t>Krishnan</t>
  </si>
  <si>
    <t>Vikram</t>
  </si>
  <si>
    <t>Singh</t>
  </si>
  <si>
    <t>Neha</t>
  </si>
  <si>
    <t>Kapoor</t>
  </si>
  <si>
    <t>Sanjay</t>
  </si>
  <si>
    <t>Desai</t>
  </si>
  <si>
    <t>Pooja</t>
  </si>
  <si>
    <t>Shah</t>
  </si>
  <si>
    <t>Nikhil</t>
  </si>
  <si>
    <t>Malhotra</t>
  </si>
  <si>
    <t>Aishwarya</t>
  </si>
  <si>
    <t>Pillai</t>
  </si>
  <si>
    <t>Varun</t>
  </si>
  <si>
    <t>Gupta</t>
  </si>
  <si>
    <t>Shreya</t>
  </si>
  <si>
    <t>Das</t>
  </si>
  <si>
    <t>Max</t>
  </si>
  <si>
    <t>Min</t>
  </si>
  <si>
    <t>Average</t>
  </si>
  <si>
    <t>Total</t>
  </si>
  <si>
    <t>33333+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</si>
</sst>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_([$$-409]* #,##0.0_);_([$$-409]* \(#,##0.0\);_([$$-409]* &quot;-&quot;?_);_(@_)"/>
    <numFmt numFmtId="166" formatCode="_([$$-409]* #,##0.0_);_([$$-409]* \(#,##0.0\);_([$$-409]* &quot;-&quot;??_);_(@_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3" fillId="3" borderId="3" xfId="0" applyFont="1" applyFill="1" applyBorder="1"/>
    <xf numFmtId="0" fontId="0" fillId="0" borderId="3" xfId="0" applyBorder="1"/>
    <xf numFmtId="0" fontId="0" fillId="5" borderId="1" xfId="0" applyFill="1" applyBorder="1"/>
    <xf numFmtId="0" fontId="0" fillId="5" borderId="4" xfId="0" applyFill="1" applyBorder="1"/>
    <xf numFmtId="0" fontId="0" fillId="6" borderId="2" xfId="0" applyFill="1" applyBorder="1"/>
    <xf numFmtId="0" fontId="0" fillId="6" borderId="4" xfId="0" applyFill="1" applyBorder="1"/>
    <xf numFmtId="14" fontId="0" fillId="0" borderId="1" xfId="0" applyNumberFormat="1" applyBorder="1"/>
    <xf numFmtId="164" fontId="0" fillId="8" borderId="1" xfId="0" applyNumberFormat="1" applyFont="1" applyFill="1" applyBorder="1"/>
    <xf numFmtId="164" fontId="0" fillId="8" borderId="5" xfId="0" applyNumberFormat="1" applyFont="1" applyFill="1" applyBorder="1"/>
    <xf numFmtId="166" fontId="0" fillId="7" borderId="1" xfId="0" applyNumberFormat="1" applyFont="1" applyFill="1" applyBorder="1"/>
    <xf numFmtId="164" fontId="0" fillId="8" borderId="3" xfId="0" applyNumberFormat="1" applyFont="1" applyFill="1" applyBorder="1"/>
    <xf numFmtId="164" fontId="0" fillId="0" borderId="1" xfId="0" applyNumberFormat="1" applyBorder="1"/>
    <xf numFmtId="165" fontId="0" fillId="0" borderId="0" xfId="0" applyNumberFormat="1"/>
    <xf numFmtId="165" fontId="0" fillId="9" borderId="1" xfId="0" applyNumberFormat="1" applyFont="1" applyFill="1" applyBorder="1"/>
    <xf numFmtId="165" fontId="0" fillId="0" borderId="1" xfId="0" applyNumberFormat="1" applyBorder="1"/>
    <xf numFmtId="0" fontId="2" fillId="2" borderId="5" xfId="0" applyFont="1" applyFill="1" applyBorder="1"/>
    <xf numFmtId="0" fontId="2" fillId="2" borderId="6" xfId="0" applyFont="1" applyFill="1" applyBorder="1"/>
    <xf numFmtId="14" fontId="1" fillId="5" borderId="7" xfId="0" applyNumberFormat="1" applyFont="1" applyFill="1" applyBorder="1"/>
    <xf numFmtId="14" fontId="1" fillId="5" borderId="6" xfId="0" applyNumberFormat="1" applyFont="1" applyFill="1" applyBorder="1"/>
    <xf numFmtId="14" fontId="1" fillId="6" borderId="6" xfId="0" applyNumberFormat="1" applyFont="1" applyFill="1" applyBorder="1" applyAlignment="1">
      <alignment horizontal="center"/>
    </xf>
    <xf numFmtId="14" fontId="1" fillId="6" borderId="6" xfId="0" applyNumberFormat="1" applyFont="1" applyFill="1" applyBorder="1"/>
    <xf numFmtId="14" fontId="1" fillId="6" borderId="8" xfId="0" applyNumberFormat="1" applyFont="1" applyFill="1" applyBorder="1"/>
    <xf numFmtId="14" fontId="1" fillId="7" borderId="5" xfId="0" applyNumberFormat="1" applyFont="1" applyFill="1" applyBorder="1"/>
    <xf numFmtId="14" fontId="1" fillId="7" borderId="9" xfId="0" applyNumberFormat="1" applyFont="1" applyFill="1" applyBorder="1"/>
    <xf numFmtId="14" fontId="0" fillId="8" borderId="5" xfId="0" applyNumberFormat="1" applyFill="1" applyBorder="1"/>
    <xf numFmtId="14" fontId="0" fillId="8" borderId="7" xfId="0" applyNumberFormat="1" applyFill="1" applyBorder="1"/>
    <xf numFmtId="14" fontId="0" fillId="8" borderId="9" xfId="0" applyNumberFormat="1" applyFill="1" applyBorder="1"/>
    <xf numFmtId="14" fontId="0" fillId="9" borderId="5" xfId="0" applyNumberFormat="1" applyFill="1" applyBorder="1"/>
    <xf numFmtId="0" fontId="0" fillId="0" borderId="5" xfId="0" applyBorder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workbookViewId="0">
      <selection activeCell="D40" sqref="D40"/>
    </sheetView>
  </sheetViews>
  <sheetFormatPr defaultRowHeight="15"/>
  <cols>
    <col min="1" max="1" width="10.5703125" bestFit="1" customWidth="1"/>
    <col min="2" max="2" width="10.7109375" bestFit="1" customWidth="1"/>
    <col min="3" max="3" width="21.28515625" bestFit="1" customWidth="1"/>
    <col min="4" max="8" width="21.28515625" customWidth="1"/>
    <col min="9" max="9" width="18.140625" bestFit="1" customWidth="1"/>
    <col min="10" max="12" width="10.7109375" bestFit="1" customWidth="1"/>
    <col min="13" max="13" width="11.7109375" bestFit="1" customWidth="1"/>
    <col min="14" max="14" width="19.42578125" customWidth="1"/>
    <col min="15" max="15" width="20" customWidth="1"/>
    <col min="16" max="16" width="22" customWidth="1"/>
    <col min="17" max="17" width="19.28515625" customWidth="1"/>
    <col min="18" max="18" width="24.5703125" customWidth="1"/>
    <col min="19" max="19" width="10.28515625" customWidth="1"/>
    <col min="20" max="20" width="15.42578125" bestFit="1" customWidth="1"/>
    <col min="21" max="23" width="15.42578125" customWidth="1"/>
    <col min="24" max="24" width="17" customWidth="1"/>
    <col min="25" max="25" width="14.7109375" customWidth="1"/>
    <col min="26" max="26" width="16.7109375" customWidth="1"/>
    <col min="27" max="27" width="22.28515625" customWidth="1"/>
    <col min="28" max="28" width="15.7109375" customWidth="1"/>
    <col min="29" max="30" width="11.42578125" bestFit="1" customWidth="1"/>
  </cols>
  <sheetData>
    <row r="1" spans="1:29" ht="93.75">
      <c r="C1" s="33" t="s">
        <v>0</v>
      </c>
      <c r="D1" s="33"/>
      <c r="E1" s="33"/>
      <c r="F1" s="33"/>
      <c r="G1" s="33"/>
      <c r="H1" s="33"/>
    </row>
    <row r="2" spans="1:29">
      <c r="C2" s="1"/>
      <c r="D2" s="1"/>
      <c r="E2" s="1"/>
      <c r="F2" s="1"/>
      <c r="G2" s="1"/>
      <c r="H2" s="1"/>
      <c r="J2" s="1"/>
      <c r="K2" s="1"/>
      <c r="L2" s="1"/>
      <c r="M2" s="1"/>
      <c r="N2" s="1"/>
      <c r="O2" s="1"/>
      <c r="R2" s="1"/>
      <c r="S2" s="1"/>
      <c r="T2" s="1"/>
      <c r="U2" s="1"/>
      <c r="V2" s="1"/>
      <c r="W2" s="1"/>
      <c r="X2" s="1"/>
      <c r="Y2" s="1">
        <v>46262</v>
      </c>
    </row>
    <row r="3" spans="1:29">
      <c r="A3" s="2"/>
      <c r="B3" s="2"/>
      <c r="C3" s="10"/>
      <c r="D3" s="3" t="s">
        <v>1</v>
      </c>
      <c r="E3" s="10"/>
      <c r="F3" s="10"/>
      <c r="G3" s="10"/>
      <c r="H3" s="10"/>
      <c r="I3" s="3" t="s">
        <v>2</v>
      </c>
      <c r="J3" s="10"/>
      <c r="K3" s="10"/>
      <c r="L3" s="10"/>
      <c r="M3" s="10"/>
      <c r="N3" s="3" t="s">
        <v>3</v>
      </c>
      <c r="O3" s="10"/>
      <c r="P3" s="2"/>
      <c r="Q3" s="2"/>
      <c r="R3" s="10"/>
      <c r="S3" s="3" t="s">
        <v>4</v>
      </c>
      <c r="T3" s="10"/>
      <c r="U3" s="10"/>
      <c r="V3" s="10"/>
      <c r="W3" s="10"/>
      <c r="X3" s="3" t="s">
        <v>5</v>
      </c>
      <c r="Y3" s="10"/>
      <c r="Z3" s="2"/>
      <c r="AA3" s="2"/>
      <c r="AB3" s="2"/>
      <c r="AC3" s="3" t="s">
        <v>6</v>
      </c>
    </row>
    <row r="4" spans="1:29">
      <c r="A4" s="19" t="s">
        <v>7</v>
      </c>
      <c r="B4" s="19" t="s">
        <v>8</v>
      </c>
      <c r="C4" s="20" t="s">
        <v>9</v>
      </c>
      <c r="D4" s="21">
        <v>46023</v>
      </c>
      <c r="E4" s="22">
        <f>D4+7</f>
        <v>46030</v>
      </c>
      <c r="F4" s="22">
        <f>E4+7</f>
        <v>46037</v>
      </c>
      <c r="G4" s="22">
        <f>F4+7</f>
        <v>46044</v>
      </c>
      <c r="H4" s="22">
        <f>G4+7</f>
        <v>46051</v>
      </c>
      <c r="I4" s="23">
        <v>46023</v>
      </c>
      <c r="J4" s="24">
        <f>I4+7</f>
        <v>46030</v>
      </c>
      <c r="K4" s="24">
        <f>J4+7</f>
        <v>46037</v>
      </c>
      <c r="L4" s="24">
        <f t="shared" ref="L4:M4" si="0">K4+7</f>
        <v>46044</v>
      </c>
      <c r="M4" s="25">
        <f t="shared" si="0"/>
        <v>46051</v>
      </c>
      <c r="N4" s="26">
        <v>46023</v>
      </c>
      <c r="O4" s="26">
        <f>N4+7</f>
        <v>46030</v>
      </c>
      <c r="P4" s="26">
        <f>O4+7</f>
        <v>46037</v>
      </c>
      <c r="Q4" s="26">
        <f t="shared" ref="Q4:R4" si="1">P4+7</f>
        <v>46044</v>
      </c>
      <c r="R4" s="27">
        <f t="shared" si="1"/>
        <v>46051</v>
      </c>
      <c r="S4" s="28">
        <v>46023</v>
      </c>
      <c r="T4" s="29">
        <f>S4+7</f>
        <v>46030</v>
      </c>
      <c r="U4" s="28">
        <f>T4+7</f>
        <v>46037</v>
      </c>
      <c r="V4" s="28">
        <f t="shared" ref="V4:W4" si="2">U4+7</f>
        <v>46044</v>
      </c>
      <c r="W4" s="30">
        <f t="shared" si="2"/>
        <v>46051</v>
      </c>
      <c r="X4" s="31">
        <v>46023</v>
      </c>
      <c r="Y4" s="31">
        <f>X4+7</f>
        <v>46030</v>
      </c>
      <c r="Z4" s="31">
        <f>Y4+7</f>
        <v>46037</v>
      </c>
      <c r="AA4" s="31">
        <f t="shared" ref="AA4:AB4" si="3">Z4+7</f>
        <v>46044</v>
      </c>
      <c r="AB4" s="31">
        <f t="shared" si="3"/>
        <v>46051</v>
      </c>
      <c r="AC4" s="32"/>
    </row>
    <row r="5" spans="1:29">
      <c r="A5" s="2" t="s">
        <v>10</v>
      </c>
      <c r="B5" s="5" t="s">
        <v>11</v>
      </c>
      <c r="C5" s="15">
        <v>5</v>
      </c>
      <c r="D5" s="7">
        <v>8</v>
      </c>
      <c r="E5" s="6">
        <v>8</v>
      </c>
      <c r="F5" s="6">
        <v>8.5</v>
      </c>
      <c r="G5" s="6">
        <v>8.75</v>
      </c>
      <c r="H5" s="6">
        <v>8</v>
      </c>
      <c r="I5" s="8">
        <f>IF(D5&gt;8,D5-8,0)</f>
        <v>0</v>
      </c>
      <c r="J5" s="8">
        <f>IF(E5&gt;8,E5-8,0)</f>
        <v>0</v>
      </c>
      <c r="K5" s="8">
        <f>IF(F5&gt;8,F5-8,0)</f>
        <v>0.5</v>
      </c>
      <c r="L5" s="8">
        <f>IF(G5&gt;8,G5-8,0)</f>
        <v>0.75</v>
      </c>
      <c r="M5" s="9">
        <f>IF(H5&gt;8,H5-8,0)</f>
        <v>0</v>
      </c>
      <c r="N5" s="13">
        <f>$C5*D5</f>
        <v>40</v>
      </c>
      <c r="O5" s="13">
        <f>$C5*E5</f>
        <v>40</v>
      </c>
      <c r="P5" s="13">
        <f t="shared" ref="P5:R20" si="4">$C5*F5</f>
        <v>42.5</v>
      </c>
      <c r="Q5" s="13">
        <f>$C5*G5</f>
        <v>43.75</v>
      </c>
      <c r="R5" s="13">
        <f t="shared" si="4"/>
        <v>40</v>
      </c>
      <c r="S5" s="12">
        <f>0.5*$C5*I5</f>
        <v>0</v>
      </c>
      <c r="T5" s="11">
        <f t="shared" ref="T5:T24" si="5">0.5*$C5*J5</f>
        <v>0</v>
      </c>
      <c r="U5" s="11">
        <f t="shared" ref="U5:U24" si="6">0.5*$C5*K5</f>
        <v>1.25</v>
      </c>
      <c r="V5" s="11">
        <f t="shared" ref="V5:V24" si="7">0.5*$C5*L5</f>
        <v>1.875</v>
      </c>
      <c r="W5" s="14">
        <f t="shared" ref="W5:W24" si="8">0.5*$C5*M5</f>
        <v>0</v>
      </c>
      <c r="X5" s="17">
        <f>N5+S5</f>
        <v>40</v>
      </c>
      <c r="Y5" s="17">
        <f>O5+T5</f>
        <v>40</v>
      </c>
      <c r="Z5" s="17">
        <f t="shared" ref="Y5:AB20" si="9">P5+U5</f>
        <v>43.75</v>
      </c>
      <c r="AA5" s="17">
        <f>Q5+V5</f>
        <v>45.625</v>
      </c>
      <c r="AB5" s="17">
        <f t="shared" si="9"/>
        <v>40</v>
      </c>
      <c r="AC5" s="18">
        <f>SUM(X5:AB5)</f>
        <v>209.375</v>
      </c>
    </row>
    <row r="6" spans="1:29">
      <c r="A6" s="2" t="s">
        <v>12</v>
      </c>
      <c r="B6" s="5" t="s">
        <v>13</v>
      </c>
      <c r="C6" s="15">
        <v>7</v>
      </c>
      <c r="D6" s="7">
        <v>7.5</v>
      </c>
      <c r="E6" s="6">
        <v>7.5</v>
      </c>
      <c r="F6" s="6">
        <v>7.25</v>
      </c>
      <c r="G6" s="6">
        <v>7.25</v>
      </c>
      <c r="H6" s="6">
        <v>7</v>
      </c>
      <c r="I6" s="8">
        <f>IF(D6&gt;8,D6-8,0)</f>
        <v>0</v>
      </c>
      <c r="J6" s="8">
        <f>IF(E6&gt;8,E6-8,0)</f>
        <v>0</v>
      </c>
      <c r="K6" s="8">
        <f>IF(F6&gt;8,F6-8,0)</f>
        <v>0</v>
      </c>
      <c r="L6" s="8">
        <f>IF(G6&gt;8,G6-8,0)</f>
        <v>0</v>
      </c>
      <c r="M6" s="9">
        <f>IF(H6&gt;8,H6-8,0)</f>
        <v>0</v>
      </c>
      <c r="N6" s="13">
        <f t="shared" ref="N6:N11" si="10">$C6*D6</f>
        <v>52.5</v>
      </c>
      <c r="O6" s="13">
        <f t="shared" ref="O6:O24" si="11">$C6*E6</f>
        <v>52.5</v>
      </c>
      <c r="P6" s="13">
        <f t="shared" si="4"/>
        <v>50.75</v>
      </c>
      <c r="Q6" s="13">
        <f t="shared" si="4"/>
        <v>50.75</v>
      </c>
      <c r="R6" s="13">
        <f t="shared" si="4"/>
        <v>49</v>
      </c>
      <c r="S6" s="11">
        <f>0.5*C6*I6</f>
        <v>0</v>
      </c>
      <c r="T6" s="11">
        <f t="shared" si="5"/>
        <v>0</v>
      </c>
      <c r="U6" s="11">
        <f t="shared" si="6"/>
        <v>0</v>
      </c>
      <c r="V6" s="11">
        <f t="shared" si="7"/>
        <v>0</v>
      </c>
      <c r="W6" s="14">
        <f t="shared" si="8"/>
        <v>0</v>
      </c>
      <c r="X6" s="17">
        <f t="shared" ref="X6:X24" si="12">N6+S6</f>
        <v>52.5</v>
      </c>
      <c r="Y6" s="17">
        <f t="shared" si="9"/>
        <v>52.5</v>
      </c>
      <c r="Z6" s="17">
        <f t="shared" si="9"/>
        <v>50.75</v>
      </c>
      <c r="AA6" s="17">
        <f t="shared" si="9"/>
        <v>50.75</v>
      </c>
      <c r="AB6" s="17">
        <f t="shared" si="9"/>
        <v>49</v>
      </c>
      <c r="AC6" s="18">
        <f>SUM(X6:AB6)</f>
        <v>255.5</v>
      </c>
    </row>
    <row r="7" spans="1:29">
      <c r="A7" s="2" t="s">
        <v>14</v>
      </c>
      <c r="B7" s="5" t="s">
        <v>15</v>
      </c>
      <c r="C7" s="15">
        <v>6</v>
      </c>
      <c r="D7" s="7">
        <v>8.25</v>
      </c>
      <c r="E7" s="6">
        <v>8.25</v>
      </c>
      <c r="F7" s="6">
        <v>8</v>
      </c>
      <c r="G7" s="6">
        <v>8.5</v>
      </c>
      <c r="H7" s="6">
        <v>9</v>
      </c>
      <c r="I7" s="8">
        <f>IF(D7&gt;8,D7-8,0)</f>
        <v>0.25</v>
      </c>
      <c r="J7" s="8">
        <f>IF(E7&gt;8,E7-8,0)</f>
        <v>0.25</v>
      </c>
      <c r="K7" s="8">
        <f>IF(F7&gt;8,F7-8,0)</f>
        <v>0</v>
      </c>
      <c r="L7" s="8">
        <f>IF(G7&gt;8,G7-8,0)</f>
        <v>0.5</v>
      </c>
      <c r="M7" s="9">
        <f>IF(H7&gt;8,H7-8,0)</f>
        <v>1</v>
      </c>
      <c r="N7" s="13">
        <f t="shared" si="10"/>
        <v>49.5</v>
      </c>
      <c r="O7" s="13">
        <f t="shared" si="11"/>
        <v>49.5</v>
      </c>
      <c r="P7" s="13">
        <f t="shared" si="4"/>
        <v>48</v>
      </c>
      <c r="Q7" s="13">
        <f t="shared" si="4"/>
        <v>51</v>
      </c>
      <c r="R7" s="13">
        <f t="shared" si="4"/>
        <v>54</v>
      </c>
      <c r="S7" s="11">
        <f>0.5*C7*I7</f>
        <v>0.75</v>
      </c>
      <c r="T7" s="11">
        <f t="shared" si="5"/>
        <v>0.75</v>
      </c>
      <c r="U7" s="11">
        <f t="shared" si="6"/>
        <v>0</v>
      </c>
      <c r="V7" s="11">
        <f t="shared" si="7"/>
        <v>1.5</v>
      </c>
      <c r="W7" s="14">
        <f t="shared" si="8"/>
        <v>3</v>
      </c>
      <c r="X7" s="17">
        <f t="shared" si="12"/>
        <v>50.25</v>
      </c>
      <c r="Y7" s="17">
        <f t="shared" si="9"/>
        <v>50.25</v>
      </c>
      <c r="Z7" s="17">
        <f t="shared" si="9"/>
        <v>48</v>
      </c>
      <c r="AA7" s="17">
        <f t="shared" si="9"/>
        <v>52.5</v>
      </c>
      <c r="AB7" s="17">
        <f t="shared" si="9"/>
        <v>57</v>
      </c>
      <c r="AC7" s="18">
        <f>SUM(X7:AB7)</f>
        <v>258</v>
      </c>
    </row>
    <row r="8" spans="1:29">
      <c r="A8" s="2" t="s">
        <v>16</v>
      </c>
      <c r="B8" s="5" t="s">
        <v>17</v>
      </c>
      <c r="C8" s="15">
        <v>8</v>
      </c>
      <c r="D8" s="7">
        <v>8</v>
      </c>
      <c r="E8" s="6">
        <v>8</v>
      </c>
      <c r="F8" s="6">
        <v>6.75</v>
      </c>
      <c r="G8" s="6">
        <v>6.75</v>
      </c>
      <c r="H8" s="6">
        <v>6</v>
      </c>
      <c r="I8" s="8">
        <f>IF(D8&gt;8,D8-8,0)</f>
        <v>0</v>
      </c>
      <c r="J8" s="8">
        <f>IF(E8&gt;8,E8-8,0)</f>
        <v>0</v>
      </c>
      <c r="K8" s="8">
        <f>IF(F8&gt;8,F8-8,0)</f>
        <v>0</v>
      </c>
      <c r="L8" s="8">
        <f>IF(G8&gt;8,G8-8,0)</f>
        <v>0</v>
      </c>
      <c r="M8" s="9">
        <f>IF(H8&gt;8,H8-8,0)</f>
        <v>0</v>
      </c>
      <c r="N8" s="13">
        <f t="shared" si="10"/>
        <v>64</v>
      </c>
      <c r="O8" s="13">
        <f t="shared" si="11"/>
        <v>64</v>
      </c>
      <c r="P8" s="13">
        <f t="shared" si="4"/>
        <v>54</v>
      </c>
      <c r="Q8" s="13">
        <f t="shared" si="4"/>
        <v>54</v>
      </c>
      <c r="R8" s="13">
        <f t="shared" si="4"/>
        <v>48</v>
      </c>
      <c r="S8" s="11">
        <f>0.5*C8*I8</f>
        <v>0</v>
      </c>
      <c r="T8" s="11">
        <f t="shared" si="5"/>
        <v>0</v>
      </c>
      <c r="U8" s="11">
        <f t="shared" si="6"/>
        <v>0</v>
      </c>
      <c r="V8" s="11">
        <f t="shared" si="7"/>
        <v>0</v>
      </c>
      <c r="W8" s="14">
        <f t="shared" si="8"/>
        <v>0</v>
      </c>
      <c r="X8" s="17">
        <f t="shared" si="12"/>
        <v>64</v>
      </c>
      <c r="Y8" s="17">
        <f t="shared" si="9"/>
        <v>64</v>
      </c>
      <c r="Z8" s="17">
        <f t="shared" si="9"/>
        <v>54</v>
      </c>
      <c r="AA8" s="17">
        <f t="shared" si="9"/>
        <v>54</v>
      </c>
      <c r="AB8" s="17">
        <f t="shared" si="9"/>
        <v>48</v>
      </c>
      <c r="AC8" s="18">
        <f>SUM(X8:AB8)</f>
        <v>284</v>
      </c>
    </row>
    <row r="9" spans="1:29">
      <c r="A9" s="2" t="s">
        <v>18</v>
      </c>
      <c r="B9" s="5" t="s">
        <v>19</v>
      </c>
      <c r="C9" s="15">
        <v>4</v>
      </c>
      <c r="D9" s="7">
        <v>10</v>
      </c>
      <c r="E9" s="6">
        <v>9</v>
      </c>
      <c r="F9" s="6">
        <v>9</v>
      </c>
      <c r="G9" s="6">
        <v>9.5</v>
      </c>
      <c r="H9" s="6">
        <v>8</v>
      </c>
      <c r="I9" s="8">
        <f>IF(D9&gt;8,D9-8,0)</f>
        <v>2</v>
      </c>
      <c r="J9" s="8">
        <f>IF(E9&gt;8,E9-8,0)</f>
        <v>1</v>
      </c>
      <c r="K9" s="8">
        <f>IF(F9&gt;8,F9-8,0)</f>
        <v>1</v>
      </c>
      <c r="L9" s="8">
        <f>IF(G9&gt;8,G9-8,0)</f>
        <v>1.5</v>
      </c>
      <c r="M9" s="9">
        <f>IF(H9&gt;8,H9-8,0)</f>
        <v>0</v>
      </c>
      <c r="N9" s="13">
        <f t="shared" si="10"/>
        <v>40</v>
      </c>
      <c r="O9" s="13">
        <f t="shared" si="11"/>
        <v>36</v>
      </c>
      <c r="P9" s="13">
        <f t="shared" si="4"/>
        <v>36</v>
      </c>
      <c r="Q9" s="13">
        <f t="shared" si="4"/>
        <v>38</v>
      </c>
      <c r="R9" s="13">
        <f t="shared" si="4"/>
        <v>32</v>
      </c>
      <c r="S9" s="11">
        <f>0.5*C9*I9</f>
        <v>4</v>
      </c>
      <c r="T9" s="11">
        <f t="shared" si="5"/>
        <v>2</v>
      </c>
      <c r="U9" s="11">
        <f t="shared" si="6"/>
        <v>2</v>
      </c>
      <c r="V9" s="11">
        <f t="shared" si="7"/>
        <v>3</v>
      </c>
      <c r="W9" s="14">
        <f t="shared" si="8"/>
        <v>0</v>
      </c>
      <c r="X9" s="17">
        <f t="shared" si="12"/>
        <v>44</v>
      </c>
      <c r="Y9" s="17">
        <f t="shared" si="9"/>
        <v>38</v>
      </c>
      <c r="Z9" s="17">
        <f t="shared" si="9"/>
        <v>38</v>
      </c>
      <c r="AA9" s="17">
        <f t="shared" si="9"/>
        <v>41</v>
      </c>
      <c r="AB9" s="17">
        <f t="shared" si="9"/>
        <v>32</v>
      </c>
      <c r="AC9" s="18">
        <f>SUM(X9:AB9)</f>
        <v>193</v>
      </c>
    </row>
    <row r="10" spans="1:29">
      <c r="A10" s="2" t="s">
        <v>20</v>
      </c>
      <c r="B10" s="5" t="s">
        <v>21</v>
      </c>
      <c r="C10" s="15">
        <v>9</v>
      </c>
      <c r="D10" s="7">
        <v>7.75</v>
      </c>
      <c r="E10" s="6">
        <v>7.75</v>
      </c>
      <c r="F10" s="6">
        <v>7.5</v>
      </c>
      <c r="G10" s="6">
        <v>7.75</v>
      </c>
      <c r="H10" s="6">
        <v>7</v>
      </c>
      <c r="I10" s="8">
        <f>IF(D10&gt;8,D10-8,0)</f>
        <v>0</v>
      </c>
      <c r="J10" s="8">
        <f>IF(E10&gt;8,E10-8,0)</f>
        <v>0</v>
      </c>
      <c r="K10" s="8">
        <f>IF(F10&gt;8,F10-8,0)</f>
        <v>0</v>
      </c>
      <c r="L10" s="8">
        <f>IF(G10&gt;8,G10-8,0)</f>
        <v>0</v>
      </c>
      <c r="M10" s="9">
        <f>IF(H10&gt;8,H10-8,0)</f>
        <v>0</v>
      </c>
      <c r="N10" s="13">
        <f t="shared" si="10"/>
        <v>69.75</v>
      </c>
      <c r="O10" s="13">
        <f t="shared" si="11"/>
        <v>69.75</v>
      </c>
      <c r="P10" s="13">
        <f t="shared" si="4"/>
        <v>67.5</v>
      </c>
      <c r="Q10" s="13">
        <f t="shared" si="4"/>
        <v>69.75</v>
      </c>
      <c r="R10" s="13">
        <f t="shared" si="4"/>
        <v>63</v>
      </c>
      <c r="S10" s="11">
        <f>0.5*C10*I10</f>
        <v>0</v>
      </c>
      <c r="T10" s="11">
        <f t="shared" si="5"/>
        <v>0</v>
      </c>
      <c r="U10" s="11">
        <f t="shared" si="6"/>
        <v>0</v>
      </c>
      <c r="V10" s="11">
        <f t="shared" si="7"/>
        <v>0</v>
      </c>
      <c r="W10" s="14">
        <f t="shared" si="8"/>
        <v>0</v>
      </c>
      <c r="X10" s="17">
        <f t="shared" si="12"/>
        <v>69.75</v>
      </c>
      <c r="Y10" s="17">
        <f t="shared" si="9"/>
        <v>69.75</v>
      </c>
      <c r="Z10" s="17">
        <f t="shared" si="9"/>
        <v>67.5</v>
      </c>
      <c r="AA10" s="17">
        <f t="shared" si="9"/>
        <v>69.75</v>
      </c>
      <c r="AB10" s="17">
        <f t="shared" si="9"/>
        <v>63</v>
      </c>
      <c r="AC10" s="18">
        <f>SUM(X10:AB10)</f>
        <v>339.75</v>
      </c>
    </row>
    <row r="11" spans="1:29">
      <c r="A11" s="2" t="s">
        <v>22</v>
      </c>
      <c r="B11" s="5" t="s">
        <v>23</v>
      </c>
      <c r="C11" s="15">
        <v>6</v>
      </c>
      <c r="D11" s="7">
        <v>8.5</v>
      </c>
      <c r="E11" s="6">
        <v>8.5</v>
      </c>
      <c r="F11" s="6">
        <v>8.25</v>
      </c>
      <c r="G11" s="6">
        <v>8.25</v>
      </c>
      <c r="H11" s="6">
        <v>9</v>
      </c>
      <c r="I11" s="8">
        <f>IF(D11&gt;8,D11-8,0)</f>
        <v>0.5</v>
      </c>
      <c r="J11" s="8">
        <f>IF(E11&gt;8,E11-8,0)</f>
        <v>0.5</v>
      </c>
      <c r="K11" s="8">
        <f>IF(F11&gt;8,F11-8,0)</f>
        <v>0.25</v>
      </c>
      <c r="L11" s="8">
        <f>IF(G11&gt;8,G11-8,0)</f>
        <v>0.25</v>
      </c>
      <c r="M11" s="9">
        <f>IF(H11&gt;8,H11-8,0)</f>
        <v>1</v>
      </c>
      <c r="N11" s="13">
        <f t="shared" si="10"/>
        <v>51</v>
      </c>
      <c r="O11" s="13">
        <f t="shared" si="11"/>
        <v>51</v>
      </c>
      <c r="P11" s="13">
        <f t="shared" si="4"/>
        <v>49.5</v>
      </c>
      <c r="Q11" s="13">
        <f t="shared" si="4"/>
        <v>49.5</v>
      </c>
      <c r="R11" s="13">
        <f t="shared" si="4"/>
        <v>54</v>
      </c>
      <c r="S11" s="11">
        <f>0.5*C11*I11</f>
        <v>1.5</v>
      </c>
      <c r="T11" s="11">
        <f t="shared" si="5"/>
        <v>1.5</v>
      </c>
      <c r="U11" s="11">
        <f t="shared" si="6"/>
        <v>0.75</v>
      </c>
      <c r="V11" s="11">
        <f t="shared" si="7"/>
        <v>0.75</v>
      </c>
      <c r="W11" s="14">
        <f t="shared" si="8"/>
        <v>3</v>
      </c>
      <c r="X11" s="17">
        <f t="shared" si="12"/>
        <v>52.5</v>
      </c>
      <c r="Y11" s="17">
        <f t="shared" si="9"/>
        <v>52.5</v>
      </c>
      <c r="Z11" s="17">
        <f t="shared" si="9"/>
        <v>50.25</v>
      </c>
      <c r="AA11" s="17">
        <f t="shared" si="9"/>
        <v>50.25</v>
      </c>
      <c r="AB11" s="17">
        <f t="shared" si="9"/>
        <v>57</v>
      </c>
      <c r="AC11" s="18">
        <f>SUM(X11:AB11)</f>
        <v>262.5</v>
      </c>
    </row>
    <row r="12" spans="1:29">
      <c r="A12" s="2" t="s">
        <v>24</v>
      </c>
      <c r="B12" s="5" t="s">
        <v>25</v>
      </c>
      <c r="C12" s="15">
        <v>5</v>
      </c>
      <c r="D12" s="7">
        <v>7</v>
      </c>
      <c r="E12" s="6">
        <v>7</v>
      </c>
      <c r="F12" s="6">
        <v>7.75</v>
      </c>
      <c r="G12" s="6">
        <v>6.5</v>
      </c>
      <c r="H12" s="6">
        <v>8</v>
      </c>
      <c r="I12" s="8">
        <f>IF(D12&gt;8,D12-8,0)</f>
        <v>0</v>
      </c>
      <c r="J12" s="8">
        <f>IF(E12&gt;8,E12-8,0)</f>
        <v>0</v>
      </c>
      <c r="K12" s="8">
        <f>IF(F12&gt;8,F12-8,0)</f>
        <v>0</v>
      </c>
      <c r="L12" s="8">
        <f>IF(G12&gt;8,G12-8,0)</f>
        <v>0</v>
      </c>
      <c r="M12" s="9">
        <f>IF(H12&gt;8,H12-8,0)</f>
        <v>0</v>
      </c>
      <c r="N12" s="13">
        <f>C12*D12</f>
        <v>35</v>
      </c>
      <c r="O12" s="13">
        <f t="shared" si="11"/>
        <v>35</v>
      </c>
      <c r="P12" s="13">
        <f t="shared" si="4"/>
        <v>38.75</v>
      </c>
      <c r="Q12" s="13">
        <f t="shared" si="4"/>
        <v>32.5</v>
      </c>
      <c r="R12" s="13">
        <f t="shared" si="4"/>
        <v>40</v>
      </c>
      <c r="S12" s="11">
        <f>0.5*C12*I12</f>
        <v>0</v>
      </c>
      <c r="T12" s="11">
        <f t="shared" si="5"/>
        <v>0</v>
      </c>
      <c r="U12" s="11">
        <f t="shared" si="6"/>
        <v>0</v>
      </c>
      <c r="V12" s="11">
        <f t="shared" si="7"/>
        <v>0</v>
      </c>
      <c r="W12" s="14">
        <f t="shared" si="8"/>
        <v>0</v>
      </c>
      <c r="X12" s="17">
        <f t="shared" si="12"/>
        <v>35</v>
      </c>
      <c r="Y12" s="17">
        <f t="shared" si="9"/>
        <v>35</v>
      </c>
      <c r="Z12" s="17">
        <f t="shared" si="9"/>
        <v>38.75</v>
      </c>
      <c r="AA12" s="17">
        <f t="shared" si="9"/>
        <v>32.5</v>
      </c>
      <c r="AB12" s="17">
        <f t="shared" si="9"/>
        <v>40</v>
      </c>
      <c r="AC12" s="18">
        <f>SUM(X12:AB12)</f>
        <v>181.25</v>
      </c>
    </row>
    <row r="13" spans="1:29">
      <c r="A13" s="2" t="s">
        <v>26</v>
      </c>
      <c r="B13" s="5" t="s">
        <v>27</v>
      </c>
      <c r="C13" s="15">
        <v>7</v>
      </c>
      <c r="D13" s="7">
        <v>8.25</v>
      </c>
      <c r="E13" s="6">
        <v>8.25</v>
      </c>
      <c r="F13" s="6">
        <v>8.75</v>
      </c>
      <c r="G13" s="6">
        <v>9</v>
      </c>
      <c r="H13" s="6">
        <v>6</v>
      </c>
      <c r="I13" s="8">
        <f>IF(D13&gt;8,D13-8,0)</f>
        <v>0.25</v>
      </c>
      <c r="J13" s="8">
        <f>IF(E13&gt;8,E13-8,0)</f>
        <v>0.25</v>
      </c>
      <c r="K13" s="8">
        <f>IF(F13&gt;8,F13-8,0)</f>
        <v>0.75</v>
      </c>
      <c r="L13" s="8">
        <f>IF(G13&gt;8,G13-8,0)</f>
        <v>1</v>
      </c>
      <c r="M13" s="9">
        <f>IF(H13&gt;8,H13-8,0)</f>
        <v>0</v>
      </c>
      <c r="N13" s="13">
        <f>C13*D13</f>
        <v>57.75</v>
      </c>
      <c r="O13" s="13">
        <f t="shared" si="11"/>
        <v>57.75</v>
      </c>
      <c r="P13" s="13">
        <f t="shared" si="4"/>
        <v>61.25</v>
      </c>
      <c r="Q13" s="13">
        <f t="shared" si="4"/>
        <v>63</v>
      </c>
      <c r="R13" s="13">
        <f t="shared" si="4"/>
        <v>42</v>
      </c>
      <c r="S13" s="11">
        <f>0.5*C13*I13</f>
        <v>0.875</v>
      </c>
      <c r="T13" s="11">
        <f t="shared" si="5"/>
        <v>0.875</v>
      </c>
      <c r="U13" s="11">
        <f t="shared" si="6"/>
        <v>2.625</v>
      </c>
      <c r="V13" s="11">
        <f t="shared" si="7"/>
        <v>3.5</v>
      </c>
      <c r="W13" s="14">
        <f t="shared" si="8"/>
        <v>0</v>
      </c>
      <c r="X13" s="17">
        <f t="shared" si="12"/>
        <v>58.625</v>
      </c>
      <c r="Y13" s="17">
        <f t="shared" si="9"/>
        <v>58.625</v>
      </c>
      <c r="Z13" s="17">
        <f t="shared" si="9"/>
        <v>63.875</v>
      </c>
      <c r="AA13" s="17">
        <f t="shared" si="9"/>
        <v>66.5</v>
      </c>
      <c r="AB13" s="17">
        <f t="shared" si="9"/>
        <v>42</v>
      </c>
      <c r="AC13" s="18">
        <f>SUM(X13:AB13)</f>
        <v>289.625</v>
      </c>
    </row>
    <row r="14" spans="1:29">
      <c r="A14" s="2" t="s">
        <v>28</v>
      </c>
      <c r="B14" s="5" t="s">
        <v>29</v>
      </c>
      <c r="C14" s="15">
        <v>8</v>
      </c>
      <c r="D14" s="7">
        <v>9</v>
      </c>
      <c r="E14" s="6">
        <v>9</v>
      </c>
      <c r="F14" s="6">
        <v>6.5</v>
      </c>
      <c r="G14" s="6">
        <v>7.5</v>
      </c>
      <c r="H14" s="6">
        <v>7</v>
      </c>
      <c r="I14" s="8">
        <f>IF(D14&gt;8,D14-8,0)</f>
        <v>1</v>
      </c>
      <c r="J14" s="8">
        <f>IF(E14&gt;8,E14-8,0)</f>
        <v>1</v>
      </c>
      <c r="K14" s="8">
        <f>IF(F14&gt;8,F14-8,0)</f>
        <v>0</v>
      </c>
      <c r="L14" s="8">
        <f>IF(G14&gt;8,G14-8,0)</f>
        <v>0</v>
      </c>
      <c r="M14" s="9">
        <f>IF(H14&gt;8,H14-8,0)</f>
        <v>0</v>
      </c>
      <c r="N14" s="13">
        <f>C14*D14</f>
        <v>72</v>
      </c>
      <c r="O14" s="13">
        <f t="shared" si="11"/>
        <v>72</v>
      </c>
      <c r="P14" s="13">
        <f t="shared" si="4"/>
        <v>52</v>
      </c>
      <c r="Q14" s="13">
        <f t="shared" si="4"/>
        <v>60</v>
      </c>
      <c r="R14" s="13">
        <f t="shared" si="4"/>
        <v>56</v>
      </c>
      <c r="S14" s="11">
        <f>0.5*C14*I14</f>
        <v>4</v>
      </c>
      <c r="T14" s="11">
        <f t="shared" si="5"/>
        <v>4</v>
      </c>
      <c r="U14" s="11">
        <f t="shared" si="6"/>
        <v>0</v>
      </c>
      <c r="V14" s="11">
        <f t="shared" si="7"/>
        <v>0</v>
      </c>
      <c r="W14" s="14">
        <f t="shared" si="8"/>
        <v>0</v>
      </c>
      <c r="X14" s="17">
        <f t="shared" si="12"/>
        <v>76</v>
      </c>
      <c r="Y14" s="17">
        <f t="shared" si="9"/>
        <v>76</v>
      </c>
      <c r="Z14" s="17">
        <f t="shared" si="9"/>
        <v>52</v>
      </c>
      <c r="AA14" s="17">
        <f t="shared" si="9"/>
        <v>60</v>
      </c>
      <c r="AB14" s="17">
        <f t="shared" si="9"/>
        <v>56</v>
      </c>
      <c r="AC14" s="18">
        <f>SUM(X14:AB14)</f>
        <v>320</v>
      </c>
    </row>
    <row r="15" spans="1:29">
      <c r="A15" s="2" t="s">
        <v>30</v>
      </c>
      <c r="B15" s="5" t="s">
        <v>31</v>
      </c>
      <c r="C15" s="15">
        <v>4</v>
      </c>
      <c r="D15" s="7">
        <v>8</v>
      </c>
      <c r="E15" s="6">
        <v>8</v>
      </c>
      <c r="F15" s="6">
        <v>8</v>
      </c>
      <c r="G15" s="6">
        <v>8.75</v>
      </c>
      <c r="H15" s="6">
        <v>8</v>
      </c>
      <c r="I15" s="8">
        <f>IF(D15&gt;8,D15-8,0)</f>
        <v>0</v>
      </c>
      <c r="J15" s="8">
        <f>IF(E15&gt;8,E15-8,0)</f>
        <v>0</v>
      </c>
      <c r="K15" s="8">
        <f>IF(F15&gt;8,F15-8,0)</f>
        <v>0</v>
      </c>
      <c r="L15" s="8">
        <f>IF(G15&gt;8,G15-8,0)</f>
        <v>0.75</v>
      </c>
      <c r="M15" s="9">
        <f>IF(H15&gt;8,H15-8,0)</f>
        <v>0</v>
      </c>
      <c r="N15" s="13">
        <f>C15*D15</f>
        <v>32</v>
      </c>
      <c r="O15" s="13">
        <f t="shared" si="11"/>
        <v>32</v>
      </c>
      <c r="P15" s="13">
        <f t="shared" si="4"/>
        <v>32</v>
      </c>
      <c r="Q15" s="13">
        <f t="shared" si="4"/>
        <v>35</v>
      </c>
      <c r="R15" s="13">
        <f t="shared" si="4"/>
        <v>32</v>
      </c>
      <c r="S15" s="11">
        <f>0.5*C15*I15</f>
        <v>0</v>
      </c>
      <c r="T15" s="11">
        <f t="shared" si="5"/>
        <v>0</v>
      </c>
      <c r="U15" s="11">
        <f t="shared" si="6"/>
        <v>0</v>
      </c>
      <c r="V15" s="11">
        <f t="shared" si="7"/>
        <v>1.5</v>
      </c>
      <c r="W15" s="14">
        <f t="shared" si="8"/>
        <v>0</v>
      </c>
      <c r="X15" s="17">
        <f t="shared" si="12"/>
        <v>32</v>
      </c>
      <c r="Y15" s="17">
        <f t="shared" si="9"/>
        <v>32</v>
      </c>
      <c r="Z15" s="17">
        <f t="shared" si="9"/>
        <v>32</v>
      </c>
      <c r="AA15" s="17">
        <f t="shared" si="9"/>
        <v>36.5</v>
      </c>
      <c r="AB15" s="17">
        <f t="shared" si="9"/>
        <v>32</v>
      </c>
      <c r="AC15" s="18">
        <f>SUM(X15:AB15)</f>
        <v>164.5</v>
      </c>
    </row>
    <row r="16" spans="1:29">
      <c r="A16" s="2" t="s">
        <v>32</v>
      </c>
      <c r="B16" s="5" t="s">
        <v>33</v>
      </c>
      <c r="C16" s="15">
        <v>6</v>
      </c>
      <c r="D16" s="7">
        <v>7.5</v>
      </c>
      <c r="E16" s="6">
        <v>7.5</v>
      </c>
      <c r="F16" s="6">
        <v>9.25</v>
      </c>
      <c r="G16" s="6">
        <v>7</v>
      </c>
      <c r="H16" s="6">
        <v>9</v>
      </c>
      <c r="I16" s="8">
        <f>IF(D16&gt;8,D16-8,0)</f>
        <v>0</v>
      </c>
      <c r="J16" s="8">
        <f>IF(E16&gt;8,E16-8,0)</f>
        <v>0</v>
      </c>
      <c r="K16" s="8">
        <f>IF(F16&gt;8,F16-8,0)</f>
        <v>1.25</v>
      </c>
      <c r="L16" s="8">
        <f>IF(G16&gt;8,G16-8,0)</f>
        <v>0</v>
      </c>
      <c r="M16" s="9">
        <f>IF(H16&gt;8,H16-8,0)</f>
        <v>1</v>
      </c>
      <c r="N16" s="13">
        <f>C16*D16</f>
        <v>45</v>
      </c>
      <c r="O16" s="13">
        <f t="shared" si="11"/>
        <v>45</v>
      </c>
      <c r="P16" s="13">
        <f t="shared" si="4"/>
        <v>55.5</v>
      </c>
      <c r="Q16" s="13">
        <f t="shared" si="4"/>
        <v>42</v>
      </c>
      <c r="R16" s="13">
        <f t="shared" si="4"/>
        <v>54</v>
      </c>
      <c r="S16" s="11">
        <f>0.5*C16*I16</f>
        <v>0</v>
      </c>
      <c r="T16" s="11">
        <f t="shared" si="5"/>
        <v>0</v>
      </c>
      <c r="U16" s="11">
        <f t="shared" si="6"/>
        <v>3.75</v>
      </c>
      <c r="V16" s="11">
        <f t="shared" si="7"/>
        <v>0</v>
      </c>
      <c r="W16" s="14">
        <f t="shared" si="8"/>
        <v>3</v>
      </c>
      <c r="X16" s="17">
        <f t="shared" si="12"/>
        <v>45</v>
      </c>
      <c r="Y16" s="17">
        <f t="shared" si="9"/>
        <v>45</v>
      </c>
      <c r="Z16" s="17">
        <f t="shared" si="9"/>
        <v>59.25</v>
      </c>
      <c r="AA16" s="17">
        <f t="shared" si="9"/>
        <v>42</v>
      </c>
      <c r="AB16" s="17">
        <f t="shared" si="9"/>
        <v>57</v>
      </c>
      <c r="AC16" s="18">
        <f>SUM(X16:AB16)</f>
        <v>248.25</v>
      </c>
    </row>
    <row r="17" spans="1:30">
      <c r="A17" s="2" t="s">
        <v>34</v>
      </c>
      <c r="B17" s="5" t="s">
        <v>35</v>
      </c>
      <c r="C17" s="15">
        <v>9</v>
      </c>
      <c r="D17" s="7">
        <v>8.75</v>
      </c>
      <c r="E17" s="6">
        <v>8.75</v>
      </c>
      <c r="F17" s="6">
        <v>7</v>
      </c>
      <c r="G17" s="6">
        <v>8.5</v>
      </c>
      <c r="H17" s="6">
        <v>7</v>
      </c>
      <c r="I17" s="8">
        <f>IF(D17&gt;8,D17-8,0)</f>
        <v>0.75</v>
      </c>
      <c r="J17" s="8">
        <f>IF(E17&gt;8,E17-8,0)</f>
        <v>0.75</v>
      </c>
      <c r="K17" s="8">
        <f>IF(F17&gt;8,F17-8,0)</f>
        <v>0</v>
      </c>
      <c r="L17" s="8">
        <f>IF(G17&gt;8,G17-8,0)</f>
        <v>0.5</v>
      </c>
      <c r="M17" s="9">
        <f>IF(H17&gt;8,H17-8,0)</f>
        <v>0</v>
      </c>
      <c r="N17" s="13">
        <f>C17*D17</f>
        <v>78.75</v>
      </c>
      <c r="O17" s="13">
        <f t="shared" si="11"/>
        <v>78.75</v>
      </c>
      <c r="P17" s="13">
        <f t="shared" si="4"/>
        <v>63</v>
      </c>
      <c r="Q17" s="13">
        <f t="shared" si="4"/>
        <v>76.5</v>
      </c>
      <c r="R17" s="13">
        <f t="shared" si="4"/>
        <v>63</v>
      </c>
      <c r="S17" s="11">
        <f>0.5*C17*I17</f>
        <v>3.375</v>
      </c>
      <c r="T17" s="11">
        <f t="shared" si="5"/>
        <v>3.375</v>
      </c>
      <c r="U17" s="11">
        <f t="shared" si="6"/>
        <v>0</v>
      </c>
      <c r="V17" s="11">
        <f t="shared" si="7"/>
        <v>2.25</v>
      </c>
      <c r="W17" s="14">
        <f t="shared" si="8"/>
        <v>0</v>
      </c>
      <c r="X17" s="17">
        <f t="shared" si="12"/>
        <v>82.125</v>
      </c>
      <c r="Y17" s="17">
        <f t="shared" si="9"/>
        <v>82.125</v>
      </c>
      <c r="Z17" s="17">
        <f t="shared" si="9"/>
        <v>63</v>
      </c>
      <c r="AA17" s="17">
        <f t="shared" si="9"/>
        <v>78.75</v>
      </c>
      <c r="AB17" s="17">
        <f t="shared" si="9"/>
        <v>63</v>
      </c>
      <c r="AC17" s="18">
        <f>SUM(X17:AB17)</f>
        <v>369</v>
      </c>
    </row>
    <row r="18" spans="1:30">
      <c r="A18" s="2" t="s">
        <v>36</v>
      </c>
      <c r="B18" s="5" t="s">
        <v>37</v>
      </c>
      <c r="C18" s="15">
        <v>5</v>
      </c>
      <c r="D18" s="7">
        <v>7.25</v>
      </c>
      <c r="E18" s="6">
        <v>7.25</v>
      </c>
      <c r="F18" s="6">
        <v>8.5</v>
      </c>
      <c r="G18" s="6">
        <v>9.25</v>
      </c>
      <c r="H18" s="6">
        <v>8</v>
      </c>
      <c r="I18" s="8">
        <f>IF(D18&gt;8,D18-8,0)</f>
        <v>0</v>
      </c>
      <c r="J18" s="8">
        <f>IF(E18&gt;8,E18-8,0)</f>
        <v>0</v>
      </c>
      <c r="K18" s="8">
        <f>IF(F18&gt;8,F18-8,0)</f>
        <v>0.5</v>
      </c>
      <c r="L18" s="8">
        <f>IF(G18&gt;8,G18-8,0)</f>
        <v>1.25</v>
      </c>
      <c r="M18" s="9">
        <f>IF(H18&gt;8,H18-8,0)</f>
        <v>0</v>
      </c>
      <c r="N18" s="13">
        <f>C18*D18</f>
        <v>36.25</v>
      </c>
      <c r="O18" s="13">
        <f t="shared" si="11"/>
        <v>36.25</v>
      </c>
      <c r="P18" s="13">
        <f t="shared" si="4"/>
        <v>42.5</v>
      </c>
      <c r="Q18" s="13">
        <f t="shared" si="4"/>
        <v>46.25</v>
      </c>
      <c r="R18" s="13">
        <f t="shared" si="4"/>
        <v>40</v>
      </c>
      <c r="S18" s="11">
        <f>0.5*C18*I18</f>
        <v>0</v>
      </c>
      <c r="T18" s="11">
        <f t="shared" si="5"/>
        <v>0</v>
      </c>
      <c r="U18" s="11">
        <f t="shared" si="6"/>
        <v>1.25</v>
      </c>
      <c r="V18" s="11">
        <f t="shared" si="7"/>
        <v>3.125</v>
      </c>
      <c r="W18" s="14">
        <f t="shared" si="8"/>
        <v>0</v>
      </c>
      <c r="X18" s="17">
        <f t="shared" si="12"/>
        <v>36.25</v>
      </c>
      <c r="Y18" s="17">
        <f t="shared" si="9"/>
        <v>36.25</v>
      </c>
      <c r="Z18" s="17">
        <f t="shared" si="9"/>
        <v>43.75</v>
      </c>
      <c r="AA18" s="17">
        <f t="shared" si="9"/>
        <v>49.375</v>
      </c>
      <c r="AB18" s="17">
        <f t="shared" si="9"/>
        <v>40</v>
      </c>
      <c r="AC18" s="18">
        <f>SUM(X18:AB18)</f>
        <v>205.625</v>
      </c>
    </row>
    <row r="19" spans="1:30">
      <c r="A19" s="2" t="s">
        <v>38</v>
      </c>
      <c r="B19" s="5" t="s">
        <v>39</v>
      </c>
      <c r="C19" s="15">
        <v>7</v>
      </c>
      <c r="D19" s="7">
        <v>10</v>
      </c>
      <c r="E19" s="6">
        <v>8.5</v>
      </c>
      <c r="F19" s="6">
        <v>7.75</v>
      </c>
      <c r="G19" s="6">
        <v>6.75</v>
      </c>
      <c r="H19" s="6">
        <v>6</v>
      </c>
      <c r="I19" s="8">
        <f>IF(D19&gt;8,D19-8,0)</f>
        <v>2</v>
      </c>
      <c r="J19" s="8">
        <f>IF(E19&gt;8,E19-8,0)</f>
        <v>0.5</v>
      </c>
      <c r="K19" s="8">
        <f>IF(F19&gt;8,F19-8,0)</f>
        <v>0</v>
      </c>
      <c r="L19" s="8">
        <f>IF(G19&gt;8,G19-8,0)</f>
        <v>0</v>
      </c>
      <c r="M19" s="9">
        <f>IF(H19&gt;8,H19-8,0)</f>
        <v>0</v>
      </c>
      <c r="N19" s="13">
        <f>C19*D19</f>
        <v>70</v>
      </c>
      <c r="O19" s="13">
        <f t="shared" si="11"/>
        <v>59.5</v>
      </c>
      <c r="P19" s="13">
        <f t="shared" si="4"/>
        <v>54.25</v>
      </c>
      <c r="Q19" s="13">
        <f t="shared" si="4"/>
        <v>47.25</v>
      </c>
      <c r="R19" s="13">
        <f t="shared" si="4"/>
        <v>42</v>
      </c>
      <c r="S19" s="11">
        <f>0.5*C19*I19</f>
        <v>7</v>
      </c>
      <c r="T19" s="11">
        <f t="shared" si="5"/>
        <v>1.75</v>
      </c>
      <c r="U19" s="11">
        <f t="shared" si="6"/>
        <v>0</v>
      </c>
      <c r="V19" s="11">
        <f t="shared" si="7"/>
        <v>0</v>
      </c>
      <c r="W19" s="14">
        <f t="shared" si="8"/>
        <v>0</v>
      </c>
      <c r="X19" s="17">
        <f t="shared" si="12"/>
        <v>77</v>
      </c>
      <c r="Y19" s="17">
        <f t="shared" si="9"/>
        <v>61.25</v>
      </c>
      <c r="Z19" s="17">
        <f t="shared" si="9"/>
        <v>54.25</v>
      </c>
      <c r="AA19" s="17">
        <f t="shared" si="9"/>
        <v>47.25</v>
      </c>
      <c r="AB19" s="17">
        <f t="shared" si="9"/>
        <v>42</v>
      </c>
      <c r="AC19" s="18">
        <f>SUM(X19:AB19)</f>
        <v>281.75</v>
      </c>
    </row>
    <row r="20" spans="1:30">
      <c r="A20" s="2" t="s">
        <v>40</v>
      </c>
      <c r="B20" s="5" t="s">
        <v>41</v>
      </c>
      <c r="C20" s="15">
        <v>4</v>
      </c>
      <c r="D20" s="7">
        <v>7.75</v>
      </c>
      <c r="E20" s="6">
        <v>7.75</v>
      </c>
      <c r="F20" s="6">
        <v>8.25</v>
      </c>
      <c r="G20" s="6">
        <v>8.25</v>
      </c>
      <c r="H20" s="6">
        <v>9</v>
      </c>
      <c r="I20" s="8">
        <f>IF(D20&gt;8,D20-8,0)</f>
        <v>0</v>
      </c>
      <c r="J20" s="8">
        <f>IF(E20&gt;8,E20-8,0)</f>
        <v>0</v>
      </c>
      <c r="K20" s="8">
        <f>IF(F20&gt;8,F20-8,0)</f>
        <v>0.25</v>
      </c>
      <c r="L20" s="8">
        <f>IF(G20&gt;8,G20-8,0)</f>
        <v>0.25</v>
      </c>
      <c r="M20" s="9">
        <f>IF(H20&gt;8,H20-8,0)</f>
        <v>1</v>
      </c>
      <c r="N20" s="13">
        <f>C20*D20</f>
        <v>31</v>
      </c>
      <c r="O20" s="13">
        <f t="shared" si="11"/>
        <v>31</v>
      </c>
      <c r="P20" s="13">
        <f t="shared" si="4"/>
        <v>33</v>
      </c>
      <c r="Q20" s="13">
        <f t="shared" si="4"/>
        <v>33</v>
      </c>
      <c r="R20" s="13">
        <f t="shared" si="4"/>
        <v>36</v>
      </c>
      <c r="S20" s="11">
        <f>0.5*C20*I20</f>
        <v>0</v>
      </c>
      <c r="T20" s="11">
        <f t="shared" si="5"/>
        <v>0</v>
      </c>
      <c r="U20" s="11">
        <f t="shared" si="6"/>
        <v>0.5</v>
      </c>
      <c r="V20" s="11">
        <f t="shared" si="7"/>
        <v>0.5</v>
      </c>
      <c r="W20" s="14">
        <f t="shared" si="8"/>
        <v>2</v>
      </c>
      <c r="X20" s="17">
        <f t="shared" si="12"/>
        <v>31</v>
      </c>
      <c r="Y20" s="17">
        <f t="shared" si="9"/>
        <v>31</v>
      </c>
      <c r="Z20" s="17">
        <f t="shared" si="9"/>
        <v>33.5</v>
      </c>
      <c r="AA20" s="17">
        <f t="shared" si="9"/>
        <v>33.5</v>
      </c>
      <c r="AB20" s="17">
        <f t="shared" si="9"/>
        <v>38</v>
      </c>
      <c r="AC20" s="18">
        <f>SUM(X20:AB20)</f>
        <v>167</v>
      </c>
    </row>
    <row r="21" spans="1:30">
      <c r="A21" s="2" t="s">
        <v>42</v>
      </c>
      <c r="B21" s="5" t="s">
        <v>43</v>
      </c>
      <c r="C21" s="15">
        <v>8</v>
      </c>
      <c r="D21" s="7">
        <v>8.5500000000000007</v>
      </c>
      <c r="E21" s="6">
        <v>9</v>
      </c>
      <c r="F21" s="6">
        <v>9</v>
      </c>
      <c r="G21" s="6">
        <v>7.5</v>
      </c>
      <c r="H21" s="6">
        <v>8</v>
      </c>
      <c r="I21" s="8">
        <f>IF(D21&gt;8,D21-8,0)</f>
        <v>0.55000000000000071</v>
      </c>
      <c r="J21" s="8">
        <f>IF(E21&gt;8,E21-8,0)</f>
        <v>1</v>
      </c>
      <c r="K21" s="8">
        <f>IF(F21&gt;8,F21-8,0)</f>
        <v>1</v>
      </c>
      <c r="L21" s="8">
        <f>IF(G21&gt;8,G21-8,0)</f>
        <v>0</v>
      </c>
      <c r="M21" s="9">
        <f>IF(H21&gt;8,H21-8,0)</f>
        <v>0</v>
      </c>
      <c r="N21" s="13">
        <f>C21*D21</f>
        <v>68.400000000000006</v>
      </c>
      <c r="O21" s="13">
        <f t="shared" si="11"/>
        <v>72</v>
      </c>
      <c r="P21" s="13">
        <f t="shared" ref="P21:P24" si="13">$C21*F21</f>
        <v>72</v>
      </c>
      <c r="Q21" s="13">
        <f t="shared" ref="Q21:Q24" si="14">$C21*G21</f>
        <v>60</v>
      </c>
      <c r="R21" s="13">
        <f t="shared" ref="R21:R24" si="15">$C21*H21</f>
        <v>64</v>
      </c>
      <c r="S21" s="11">
        <f>0.5*C21*I21</f>
        <v>2.2000000000000028</v>
      </c>
      <c r="T21" s="11">
        <f t="shared" si="5"/>
        <v>4</v>
      </c>
      <c r="U21" s="11">
        <f t="shared" si="6"/>
        <v>4</v>
      </c>
      <c r="V21" s="11">
        <f t="shared" si="7"/>
        <v>0</v>
      </c>
      <c r="W21" s="14">
        <f t="shared" si="8"/>
        <v>0</v>
      </c>
      <c r="X21" s="17">
        <f t="shared" si="12"/>
        <v>70.600000000000009</v>
      </c>
      <c r="Y21" s="17">
        <f t="shared" ref="Y21:Y24" si="16">O21+T21</f>
        <v>76</v>
      </c>
      <c r="Z21" s="17">
        <f t="shared" ref="Z21:Z24" si="17">P21+U21</f>
        <v>76</v>
      </c>
      <c r="AA21" s="17">
        <f t="shared" ref="AA21:AA24" si="18">Q21+V21</f>
        <v>60</v>
      </c>
      <c r="AB21" s="17">
        <f t="shared" ref="AB21:AB24" si="19">R21+W21</f>
        <v>64</v>
      </c>
      <c r="AC21" s="18">
        <f>SUM(X21:AB21)</f>
        <v>346.6</v>
      </c>
    </row>
    <row r="22" spans="1:30">
      <c r="A22" s="2" t="s">
        <v>44</v>
      </c>
      <c r="B22" s="5" t="s">
        <v>45</v>
      </c>
      <c r="C22" s="15">
        <v>6</v>
      </c>
      <c r="D22" s="7">
        <v>8.25</v>
      </c>
      <c r="E22" s="6">
        <v>8.25</v>
      </c>
      <c r="F22" s="6">
        <v>6.75</v>
      </c>
      <c r="G22" s="6">
        <v>9.5</v>
      </c>
      <c r="H22" s="6">
        <v>7</v>
      </c>
      <c r="I22" s="8">
        <f>IF(D22&gt;8,D22-8,0)</f>
        <v>0.25</v>
      </c>
      <c r="J22" s="8">
        <f>IF(E22&gt;8,E22-8,0)</f>
        <v>0.25</v>
      </c>
      <c r="K22" s="8">
        <f>IF(F22&gt;8,F22-8,0)</f>
        <v>0</v>
      </c>
      <c r="L22" s="8">
        <f>IF(G22&gt;8,G22-8,0)</f>
        <v>1.5</v>
      </c>
      <c r="M22" s="9">
        <f>IF(H22&gt;8,H22-8,0)</f>
        <v>0</v>
      </c>
      <c r="N22" s="13">
        <f>C22*D22</f>
        <v>49.5</v>
      </c>
      <c r="O22" s="13">
        <f t="shared" si="11"/>
        <v>49.5</v>
      </c>
      <c r="P22" s="13">
        <f t="shared" si="13"/>
        <v>40.5</v>
      </c>
      <c r="Q22" s="13">
        <f t="shared" si="14"/>
        <v>57</v>
      </c>
      <c r="R22" s="13">
        <f t="shared" si="15"/>
        <v>42</v>
      </c>
      <c r="S22" s="11">
        <f>0.5*C22*I22</f>
        <v>0.75</v>
      </c>
      <c r="T22" s="11">
        <f t="shared" si="5"/>
        <v>0.75</v>
      </c>
      <c r="U22" s="11">
        <f t="shared" si="6"/>
        <v>0</v>
      </c>
      <c r="V22" s="11">
        <f t="shared" si="7"/>
        <v>4.5</v>
      </c>
      <c r="W22" s="14">
        <f t="shared" si="8"/>
        <v>0</v>
      </c>
      <c r="X22" s="17">
        <f t="shared" si="12"/>
        <v>50.25</v>
      </c>
      <c r="Y22" s="17">
        <f t="shared" si="16"/>
        <v>50.25</v>
      </c>
      <c r="Z22" s="17">
        <f t="shared" si="17"/>
        <v>40.5</v>
      </c>
      <c r="AA22" s="17">
        <f t="shared" si="18"/>
        <v>61.5</v>
      </c>
      <c r="AB22" s="17">
        <f t="shared" si="19"/>
        <v>42</v>
      </c>
      <c r="AC22" s="18">
        <f>SUM(X22:AB22)</f>
        <v>244.5</v>
      </c>
    </row>
    <row r="23" spans="1:30">
      <c r="A23" s="2" t="s">
        <v>46</v>
      </c>
      <c r="B23" s="5" t="s">
        <v>47</v>
      </c>
      <c r="C23" s="15">
        <v>5</v>
      </c>
      <c r="D23" s="7">
        <v>7.5</v>
      </c>
      <c r="E23" s="6">
        <v>7.5</v>
      </c>
      <c r="F23" s="6">
        <v>8.75</v>
      </c>
      <c r="G23" s="6">
        <v>8</v>
      </c>
      <c r="H23" s="6">
        <v>9</v>
      </c>
      <c r="I23" s="8">
        <f>IF(D23&gt;8,D23-8,0)</f>
        <v>0</v>
      </c>
      <c r="J23" s="8">
        <f>IF(E23&gt;8,E23-8,0)</f>
        <v>0</v>
      </c>
      <c r="K23" s="8">
        <f>IF(F23&gt;8,F23-8,0)</f>
        <v>0.75</v>
      </c>
      <c r="L23" s="8">
        <f>IF(G23&gt;8,G23-8,0)</f>
        <v>0</v>
      </c>
      <c r="M23" s="9">
        <f>IF(H23&gt;8,H23-8,0)</f>
        <v>1</v>
      </c>
      <c r="N23" s="13">
        <f>C23*D23</f>
        <v>37.5</v>
      </c>
      <c r="O23" s="13">
        <f t="shared" si="11"/>
        <v>37.5</v>
      </c>
      <c r="P23" s="13">
        <f t="shared" si="13"/>
        <v>43.75</v>
      </c>
      <c r="Q23" s="13">
        <f t="shared" si="14"/>
        <v>40</v>
      </c>
      <c r="R23" s="13">
        <f t="shared" si="15"/>
        <v>45</v>
      </c>
      <c r="S23" s="11">
        <f>0.5*C23*I23</f>
        <v>0</v>
      </c>
      <c r="T23" s="11">
        <f t="shared" si="5"/>
        <v>0</v>
      </c>
      <c r="U23" s="11">
        <f t="shared" si="6"/>
        <v>1.875</v>
      </c>
      <c r="V23" s="11">
        <f t="shared" si="7"/>
        <v>0</v>
      </c>
      <c r="W23" s="14">
        <f t="shared" si="8"/>
        <v>2.5</v>
      </c>
      <c r="X23" s="17">
        <f t="shared" si="12"/>
        <v>37.5</v>
      </c>
      <c r="Y23" s="17">
        <f t="shared" si="16"/>
        <v>37.5</v>
      </c>
      <c r="Z23" s="17">
        <f t="shared" si="17"/>
        <v>45.625</v>
      </c>
      <c r="AA23" s="17">
        <f t="shared" si="18"/>
        <v>40</v>
      </c>
      <c r="AB23" s="17">
        <f t="shared" si="19"/>
        <v>47.5</v>
      </c>
      <c r="AC23" s="18">
        <f>SUM(X23:AB23)</f>
        <v>208.125</v>
      </c>
    </row>
    <row r="24" spans="1:30">
      <c r="A24" s="2" t="s">
        <v>48</v>
      </c>
      <c r="B24" s="5" t="s">
        <v>49</v>
      </c>
      <c r="C24" s="15">
        <v>9</v>
      </c>
      <c r="D24" s="7">
        <v>9.5500000000000007</v>
      </c>
      <c r="E24" s="6">
        <v>8.5</v>
      </c>
      <c r="F24" s="6">
        <v>7.7</v>
      </c>
      <c r="G24" s="6">
        <v>7.25</v>
      </c>
      <c r="H24" s="6">
        <v>10</v>
      </c>
      <c r="I24" s="8">
        <f>IF(D24&gt;8,D24-8,0)</f>
        <v>1.5500000000000007</v>
      </c>
      <c r="J24" s="8">
        <f>IF(E24&gt;8,E24-8,0)</f>
        <v>0.5</v>
      </c>
      <c r="K24" s="8">
        <f>IF(F24&gt;8,F24-8,0)</f>
        <v>0</v>
      </c>
      <c r="L24" s="8">
        <f>IF(G24&gt;8,G24-8,0)</f>
        <v>0</v>
      </c>
      <c r="M24" s="9">
        <f>IF(H24&gt;8,H24-8,0)</f>
        <v>2</v>
      </c>
      <c r="N24" s="13">
        <f>C24*D24</f>
        <v>85.95</v>
      </c>
      <c r="O24" s="13">
        <f t="shared" si="11"/>
        <v>76.5</v>
      </c>
      <c r="P24" s="13">
        <f t="shared" si="13"/>
        <v>69.3</v>
      </c>
      <c r="Q24" s="13">
        <f t="shared" si="14"/>
        <v>65.25</v>
      </c>
      <c r="R24" s="13">
        <f t="shared" si="15"/>
        <v>90</v>
      </c>
      <c r="S24" s="11">
        <f>0.5*C24*I24</f>
        <v>6.9750000000000032</v>
      </c>
      <c r="T24" s="11">
        <f t="shared" si="5"/>
        <v>2.25</v>
      </c>
      <c r="U24" s="11">
        <f t="shared" si="6"/>
        <v>0</v>
      </c>
      <c r="V24" s="11">
        <f t="shared" si="7"/>
        <v>0</v>
      </c>
      <c r="W24" s="14">
        <f t="shared" si="8"/>
        <v>9</v>
      </c>
      <c r="X24" s="17">
        <f t="shared" si="12"/>
        <v>92.925000000000011</v>
      </c>
      <c r="Y24" s="17">
        <f t="shared" si="16"/>
        <v>78.75</v>
      </c>
      <c r="Z24" s="17">
        <f t="shared" si="17"/>
        <v>69.3</v>
      </c>
      <c r="AA24" s="17">
        <f t="shared" si="18"/>
        <v>65.25</v>
      </c>
      <c r="AB24" s="17">
        <f t="shared" si="19"/>
        <v>99</v>
      </c>
      <c r="AC24" s="18">
        <f>SUM(X24:AB24)</f>
        <v>405.22500000000002</v>
      </c>
    </row>
    <row r="25" spans="1:30">
      <c r="AD25" s="16"/>
    </row>
    <row r="28" spans="1:30">
      <c r="B28" s="4" t="s">
        <v>50</v>
      </c>
      <c r="C28" s="15">
        <f>MAX(C5:C24)</f>
        <v>9</v>
      </c>
      <c r="D28" s="15">
        <f>MAX(D5:D24)</f>
        <v>10</v>
      </c>
      <c r="E28" s="15">
        <f>MAX(E5:E24)</f>
        <v>9</v>
      </c>
      <c r="F28" s="15">
        <f>MAX(F5:F24)</f>
        <v>9.25</v>
      </c>
      <c r="G28" s="15">
        <f>MAX(G5:G24)</f>
        <v>9.5</v>
      </c>
      <c r="H28" s="15">
        <f>MAX(H5:H24)</f>
        <v>10</v>
      </c>
      <c r="I28" s="15">
        <f>MAX(I5:I24)</f>
        <v>2</v>
      </c>
      <c r="J28" s="15">
        <f>MAX(J5:J24)</f>
        <v>1</v>
      </c>
      <c r="K28" s="15">
        <f>MAX(K5:K24)</f>
        <v>1.25</v>
      </c>
      <c r="L28" s="15">
        <f>MAX(L5:L24)</f>
        <v>1.5</v>
      </c>
      <c r="M28" s="15">
        <f>MAX(M5:M24)</f>
        <v>2</v>
      </c>
      <c r="N28" s="15">
        <f>MAX(N5:N24)</f>
        <v>85.95</v>
      </c>
      <c r="O28" s="15">
        <f>MAX(O5:O24)</f>
        <v>78.75</v>
      </c>
      <c r="P28" s="15">
        <f>MAX(P5:P24)</f>
        <v>72</v>
      </c>
      <c r="Q28" s="15">
        <f>MAX(Q5:Q24)</f>
        <v>76.5</v>
      </c>
      <c r="R28" s="15">
        <f>MAX(R5:R24)</f>
        <v>90</v>
      </c>
      <c r="S28" s="15">
        <f>MAX(S5:S24)</f>
        <v>7</v>
      </c>
      <c r="T28" s="15">
        <f>MAX(T5:T24)</f>
        <v>4</v>
      </c>
      <c r="U28" s="15">
        <f>MAX(U5:U24)</f>
        <v>4</v>
      </c>
      <c r="V28" s="15">
        <f>MAX(V5:V24)</f>
        <v>4.5</v>
      </c>
      <c r="W28" s="15">
        <f>MAX(W5:W24)</f>
        <v>9</v>
      </c>
      <c r="X28" s="15">
        <f>MAX(X5:X24)</f>
        <v>92.925000000000011</v>
      </c>
      <c r="Y28" s="15">
        <f>MAX(Y5:Y24)</f>
        <v>82.125</v>
      </c>
      <c r="Z28" s="15">
        <f>MAX(Z5:Z24)</f>
        <v>76</v>
      </c>
      <c r="AA28" s="15">
        <f>MAX(AA5:AA24)</f>
        <v>78.75</v>
      </c>
      <c r="AB28" s="15">
        <f>MAX(AB5:AB24)</f>
        <v>99</v>
      </c>
      <c r="AC28" s="15">
        <f>MAX(AC5:AC24)</f>
        <v>405.22500000000002</v>
      </c>
    </row>
    <row r="29" spans="1:30">
      <c r="B29" s="4" t="s">
        <v>51</v>
      </c>
      <c r="C29" s="15">
        <f>MIN(C5:C24)</f>
        <v>4</v>
      </c>
      <c r="D29" s="15">
        <f>MIN(D5:D24)</f>
        <v>7</v>
      </c>
      <c r="E29" s="15">
        <f>MIN(E5:E24)</f>
        <v>7</v>
      </c>
      <c r="F29" s="15">
        <f>MIN(F5:F24)</f>
        <v>6.5</v>
      </c>
      <c r="G29" s="15">
        <f>MIN(G5:G24)</f>
        <v>6.5</v>
      </c>
      <c r="H29" s="15">
        <f>MIN(H5:H24)</f>
        <v>6</v>
      </c>
      <c r="I29" s="15">
        <f>MIN(I5:I24)</f>
        <v>0</v>
      </c>
      <c r="J29" s="15">
        <f>MIN(J5:J24)</f>
        <v>0</v>
      </c>
      <c r="K29" s="15">
        <f>MIN(K5:K24)</f>
        <v>0</v>
      </c>
      <c r="L29" s="15">
        <f>MIN(L5:L24)</f>
        <v>0</v>
      </c>
      <c r="M29" s="15">
        <f>MIN(M5:M24)</f>
        <v>0</v>
      </c>
      <c r="N29" s="15">
        <f>MIN(N5:N24)</f>
        <v>31</v>
      </c>
      <c r="O29" s="15">
        <f>MIN(O5:O24)</f>
        <v>31</v>
      </c>
      <c r="P29" s="15">
        <f>MIN(P5:P24)</f>
        <v>32</v>
      </c>
      <c r="Q29" s="15">
        <f>MIN(Q5:Q24)</f>
        <v>32.5</v>
      </c>
      <c r="R29" s="15">
        <f>MIN(R5:R24)</f>
        <v>32</v>
      </c>
      <c r="S29" s="15">
        <f>MIN(S5:S24)</f>
        <v>0</v>
      </c>
      <c r="T29" s="15">
        <f>MIN(T5:T24)</f>
        <v>0</v>
      </c>
      <c r="U29" s="15">
        <f>MIN(U5:U24)</f>
        <v>0</v>
      </c>
      <c r="V29" s="15">
        <f>MIN(V5:V24)</f>
        <v>0</v>
      </c>
      <c r="W29" s="15">
        <f>MIN(W5:W24)</f>
        <v>0</v>
      </c>
      <c r="X29" s="15">
        <f>MIN(X5:X24)</f>
        <v>31</v>
      </c>
      <c r="Y29" s="15">
        <f>MIN(Y5:Y24)</f>
        <v>31</v>
      </c>
      <c r="Z29" s="15">
        <f>MIN(Z5:Z24)</f>
        <v>32</v>
      </c>
      <c r="AA29" s="15">
        <f>MIN(AA5:AA24)</f>
        <v>32.5</v>
      </c>
      <c r="AB29" s="15">
        <f>MIN(AB5:AB24)</f>
        <v>32</v>
      </c>
      <c r="AC29" s="15">
        <f>MIN(AC5:AC24)</f>
        <v>164.5</v>
      </c>
    </row>
    <row r="30" spans="1:30">
      <c r="B30" s="4" t="s">
        <v>52</v>
      </c>
      <c r="C30" s="15">
        <f>AVERAGE(C5:C24)</f>
        <v>6.4</v>
      </c>
      <c r="D30" s="15">
        <f>AVERAGE(D5:D24)</f>
        <v>8.2675000000000018</v>
      </c>
      <c r="E30" s="15">
        <f>AVERAGE(E5:E24)</f>
        <v>8.1125000000000007</v>
      </c>
      <c r="F30" s="15">
        <f>AVERAGE(F5:F24)</f>
        <v>7.9599999999999991</v>
      </c>
      <c r="G30" s="15">
        <f>AVERAGE(G5:G24)</f>
        <v>8.0250000000000004</v>
      </c>
      <c r="H30" s="15">
        <f>AVERAGE(H5:H24)</f>
        <v>7.8</v>
      </c>
      <c r="I30" s="15">
        <f>AVERAGE(I5:I24)</f>
        <v>0.45500000000000007</v>
      </c>
      <c r="J30" s="15">
        <f>AVERAGE(J5:J24)</f>
        <v>0.3</v>
      </c>
      <c r="K30" s="15">
        <f>AVERAGE(K5:K24)</f>
        <v>0.3125</v>
      </c>
      <c r="L30" s="15">
        <f>AVERAGE(L5:L24)</f>
        <v>0.41249999999999998</v>
      </c>
      <c r="M30" s="15">
        <f>AVERAGE(M5:M24)</f>
        <v>0.35</v>
      </c>
      <c r="N30" s="15">
        <f>AVERAGE(N5:N24)</f>
        <v>53.292499999999997</v>
      </c>
      <c r="O30" s="15">
        <f>AVERAGE(O5:O24)</f>
        <v>52.274999999999999</v>
      </c>
      <c r="P30" s="15">
        <f>AVERAGE(P5:P24)</f>
        <v>50.302499999999995</v>
      </c>
      <c r="Q30" s="15">
        <f>AVERAGE(Q5:Q24)</f>
        <v>50.725000000000001</v>
      </c>
      <c r="R30" s="15">
        <f>AVERAGE(R5:R24)</f>
        <v>49.3</v>
      </c>
      <c r="S30" s="15">
        <f>AVERAGE(S5:S24)</f>
        <v>1.5712500000000003</v>
      </c>
      <c r="T30" s="15">
        <f>AVERAGE(T5:T24)</f>
        <v>1.0625</v>
      </c>
      <c r="U30" s="15">
        <f>AVERAGE(U5:U24)</f>
        <v>0.9</v>
      </c>
      <c r="V30" s="15">
        <f>AVERAGE(V5:V24)</f>
        <v>1.125</v>
      </c>
      <c r="W30" s="15">
        <f>AVERAGE(W5:W24)</f>
        <v>1.125</v>
      </c>
      <c r="X30" s="15">
        <f>AVERAGE(X5:X24)</f>
        <v>54.863750000000003</v>
      </c>
      <c r="Y30" s="15">
        <f>AVERAGE(Y5:Y24)</f>
        <v>53.337499999999999</v>
      </c>
      <c r="Z30" s="15">
        <f>AVERAGE(Z5:Z24)</f>
        <v>51.202500000000001</v>
      </c>
      <c r="AA30" s="15">
        <f>AVERAGE(AA5:AA24)</f>
        <v>51.85</v>
      </c>
      <c r="AB30" s="15">
        <f>AVERAGE(AB5:AB24)</f>
        <v>50.424999999999997</v>
      </c>
      <c r="AC30" s="15">
        <f>AVERAGE(AC5:AC24)</f>
        <v>261.67875000000004</v>
      </c>
    </row>
    <row r="31" spans="1:30">
      <c r="B31" s="4" t="s">
        <v>53</v>
      </c>
      <c r="C31" s="15">
        <f>SUM(N5:N24)</f>
        <v>1065.8499999999999</v>
      </c>
      <c r="D31" s="15">
        <f>SUM(O5:O24)</f>
        <v>1045.5</v>
      </c>
      <c r="E31" s="15">
        <f>SUM(P5:P24)</f>
        <v>1006.05</v>
      </c>
      <c r="F31" s="15">
        <f>SUM(Q5:Q24)</f>
        <v>1014.5</v>
      </c>
      <c r="G31" s="15">
        <f>SUM(R5:R24)</f>
        <v>986</v>
      </c>
      <c r="H31" s="15">
        <f>SUM(S5:S24)</f>
        <v>31.425000000000004</v>
      </c>
      <c r="I31" s="15">
        <f>SUM(T5:T24)</f>
        <v>21.25</v>
      </c>
      <c r="J31" s="15">
        <f>SUM(U5:U24)</f>
        <v>18</v>
      </c>
      <c r="K31" s="15">
        <f>SUM(V5:V24)</f>
        <v>22.5</v>
      </c>
      <c r="L31" s="15">
        <f>SUM(W5:W24)</f>
        <v>22.5</v>
      </c>
      <c r="M31" s="15">
        <f>SUM(X5:X24)</f>
        <v>1097.2750000000001</v>
      </c>
      <c r="N31" s="15">
        <f>SUM(Y5:Y24)</f>
        <v>1066.75</v>
      </c>
      <c r="O31" s="15">
        <f>SUM(Z5:Z24)</f>
        <v>1024.05</v>
      </c>
      <c r="P31" s="15">
        <f>SUM(AA5:AA24)</f>
        <v>1037</v>
      </c>
      <c r="Q31" s="15">
        <f>SUM(AB5:AB24)</f>
        <v>1008.5</v>
      </c>
      <c r="R31" s="15"/>
      <c r="S31" s="15">
        <f t="shared" ref="R31:S31" si="20">SUM(AD5:AD24)</f>
        <v>0</v>
      </c>
      <c r="T31" s="15">
        <f>SUM(AE5:AE24)</f>
        <v>0</v>
      </c>
      <c r="U31" s="15">
        <f>SUM(AF5:AF24)</f>
        <v>0</v>
      </c>
      <c r="V31" s="15">
        <f>SUM(AG5:AG24)</f>
        <v>0</v>
      </c>
      <c r="W31" s="15">
        <f>SUM(AH5:AH24)</f>
        <v>0</v>
      </c>
      <c r="X31" s="15">
        <f>SUM(AI5:AI24)</f>
        <v>0</v>
      </c>
      <c r="Y31" s="15">
        <f>SUM(AJ5:AJ24)</f>
        <v>0</v>
      </c>
      <c r="Z31" s="15">
        <f>SUM(AK5:AK24)</f>
        <v>0</v>
      </c>
      <c r="AA31" s="15">
        <f>SUM(AL5:AL24)</f>
        <v>0</v>
      </c>
      <c r="AB31" s="15">
        <f>SUM(AM5:AM24)</f>
        <v>0</v>
      </c>
      <c r="AC31" s="15">
        <f>SUM(AC5:AC24)</f>
        <v>5233.5750000000007</v>
      </c>
    </row>
    <row r="39" spans="4:4">
      <c r="D39">
        <v>0.3</v>
      </c>
    </row>
    <row r="40" spans="4:4">
      <c r="D40" t="s">
        <v>54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2026-08-28T03:27:40Z</dcterms:created>
  <dcterms:modified xsi:type="dcterms:W3CDTF">2026-08-28T15:06:56Z</dcterms:modified>
  <cp:category/>
  <cp:contentStatus/>
</cp:coreProperties>
</file>